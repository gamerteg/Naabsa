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istianPaxur\Downloads\"/>
    </mc:Choice>
  </mc:AlternateContent>
  <xr:revisionPtr revIDLastSave="0" documentId="13_ncr:1_{B6C3B942-6891-4E8D-A490-6DE3C069F06C}" xr6:coauthVersionLast="47" xr6:coauthVersionMax="47" xr10:uidLastSave="{00000000-0000-0000-0000-000000000000}"/>
  <bookViews>
    <workbookView xWindow="0" yWindow="360" windowWidth="23256" windowHeight="13896" activeTab="4" xr2:uid="{00000000-000D-0000-FFFF-FFFF00000000}"/>
  </bookViews>
  <sheets>
    <sheet name="Summary" sheetId="1" r:id="rId1"/>
    <sheet name="Qtt Summary" sheetId="2" r:id="rId2"/>
    <sheet name="Vessel Ullage" sheetId="3" r:id="rId3"/>
    <sheet name="Sludge" sheetId="4" r:id="rId4"/>
    <sheet name="LOG Audit" sheetId="5" r:id="rId5"/>
    <sheet name="Time Log" sheetId="6" r:id="rId6"/>
    <sheet name="MSC Telex" sheetId="7" r:id="rId7"/>
    <sheet name="VacuoAr" sheetId="8" state="hidden" r:id="rId8"/>
  </sheets>
  <definedNames>
    <definedName name="_xlnm.Print_Area" localSheetId="4">'LOG Audit'!$A$1:$J$37</definedName>
    <definedName name="_xlnm.Print_Area" localSheetId="1">'Qtt Summary'!$B$1:$I$47</definedName>
    <definedName name="_xlnm.Print_Area" localSheetId="3">Sludge!$A$1:$K$47</definedName>
    <definedName name="_xlnm.Print_Area" localSheetId="5">'Time Log'!$A$1:$E$39</definedName>
    <definedName name="_xlnm.Print_Area" localSheetId="2">'Vessel Ullage'!$A$1:$O$31</definedName>
    <definedName name="_xlnm.Print_Titles" localSheetId="4">'LOG Audit'!$1:$8</definedName>
    <definedName name="_xlnm.Print_Titles" localSheetId="1">'Qtt Summary'!$1:$7</definedName>
    <definedName name="_xlnm.Print_Titles" localSheetId="3">Sludge!$1:$8</definedName>
    <definedName name="_xlnm.Print_Titles" localSheetId="5">'Time Log'!$1:$8</definedName>
    <definedName name="_xlnm.Print_Titles" localSheetId="2">'Vessel Ullage'!$1:$8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7" l="1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G9" i="6"/>
  <c r="C9" i="6"/>
  <c r="G8" i="6"/>
  <c r="C8" i="6"/>
  <c r="G7" i="6"/>
  <c r="C7" i="6"/>
  <c r="G6" i="6"/>
  <c r="C6" i="6"/>
  <c r="G9" i="5"/>
  <c r="C9" i="5"/>
  <c r="G8" i="5"/>
  <c r="C8" i="5"/>
  <c r="G7" i="5"/>
  <c r="C7" i="5"/>
  <c r="G6" i="5"/>
  <c r="C6" i="5"/>
  <c r="G9" i="4"/>
  <c r="C9" i="4"/>
  <c r="G8" i="4"/>
  <c r="C8" i="4"/>
  <c r="G7" i="4"/>
  <c r="C7" i="4"/>
  <c r="G6" i="4"/>
  <c r="C6" i="4"/>
  <c r="G9" i="3"/>
  <c r="C9" i="3"/>
  <c r="G8" i="3"/>
  <c r="C8" i="3"/>
  <c r="G7" i="3"/>
  <c r="C7" i="3"/>
  <c r="G6" i="3"/>
  <c r="C6" i="3"/>
  <c r="F31" i="2"/>
  <c r="E31" i="2"/>
  <c r="D31" i="2"/>
  <c r="D30" i="2"/>
  <c r="D29" i="2"/>
  <c r="F26" i="2"/>
  <c r="E26" i="2"/>
  <c r="D26" i="2"/>
  <c r="D25" i="2"/>
  <c r="D24" i="2"/>
  <c r="F21" i="2"/>
  <c r="E21" i="2"/>
  <c r="D21" i="2"/>
  <c r="D20" i="2"/>
  <c r="D19" i="2"/>
  <c r="F16" i="2"/>
  <c r="E16" i="2"/>
  <c r="D16" i="2"/>
  <c r="D15" i="2"/>
  <c r="D14" i="2"/>
  <c r="G9" i="2"/>
  <c r="C9" i="2"/>
  <c r="G8" i="2"/>
  <c r="C8" i="2"/>
  <c r="G7" i="2"/>
  <c r="C7" i="2"/>
  <c r="G6" i="2"/>
  <c r="C6" i="2"/>
</calcChain>
</file>

<file path=xl/sharedStrings.xml><?xml version="1.0" encoding="utf-8"?>
<sst xmlns="http://schemas.openxmlformats.org/spreadsheetml/2006/main" count="638" uniqueCount="388">
  <si>
    <t>[ INSERT LOGO ]</t>
  </si>
  <si>
    <t>NAABSA MARINE SURVEYORS &amp; CONSULTANTS</t>
  </si>
  <si>
    <t>Av. Ana Costa, 433/184 – Santos – SP – 11065-000</t>
  </si>
  <si>
    <t>surveyors@naabsa.com  |  naabsa.com  |  TEL: +55 13 3394-0655</t>
  </si>
  <si>
    <t>BUNKER SURVEY REPORT — CONFIGURATION</t>
  </si>
  <si>
    <t>SURVEY INFORMATION</t>
  </si>
  <si>
    <t>CLIENT</t>
  </si>
  <si>
    <t>MEDITERRANEAN SHIPPING COMPANY S.A.</t>
  </si>
  <si>
    <t>APPOINTED SERVICE</t>
  </si>
  <si>
    <t>ROB + SLUDGE DISPOSAL SURVEY</t>
  </si>
  <si>
    <t>VESSEL</t>
  </si>
  <si>
    <t>MSC KALAMATA VII</t>
  </si>
  <si>
    <t>VOYAGE</t>
  </si>
  <si>
    <t>QI4450R</t>
  </si>
  <si>
    <t>CAPTAIN</t>
  </si>
  <si>
    <t>Ion Danut Gheorghe</t>
  </si>
  <si>
    <t>CHIEF ENGINEER</t>
  </si>
  <si>
    <t>Oleksii Bragin</t>
  </si>
  <si>
    <t>GRADE 1</t>
  </si>
  <si>
    <t>R HS</t>
  </si>
  <si>
    <t>GRADE 2</t>
  </si>
  <si>
    <t>R VLS</t>
  </si>
  <si>
    <t>GRADE 3</t>
  </si>
  <si>
    <t>R ULS</t>
  </si>
  <si>
    <t>GRADE 4</t>
  </si>
  <si>
    <t>DISTILLATES</t>
  </si>
  <si>
    <t>TERMINAL</t>
  </si>
  <si>
    <t>Terminal de Contêineres de Paranaguá - TCP</t>
  </si>
  <si>
    <t>PORT</t>
  </si>
  <si>
    <t>Paranaguá/Brazil</t>
  </si>
  <si>
    <t>DATE</t>
  </si>
  <si>
    <t>January 09th, 2025</t>
  </si>
  <si>
    <t>SURVEYOR(S)</t>
  </si>
  <si>
    <t>Lara, Ernesto</t>
  </si>
  <si>
    <t>SURVEY REF</t>
  </si>
  <si>
    <t>XXX/2025</t>
  </si>
  <si>
    <t>VESSEL DETAILS</t>
  </si>
  <si>
    <t>IMO NUMBER</t>
  </si>
  <si>
    <t>9244946</t>
  </si>
  <si>
    <t>FLAG</t>
  </si>
  <si>
    <t>LIBERIA</t>
  </si>
  <si>
    <t>PORT OF REGISTRY</t>
  </si>
  <si>
    <t>MONROVIA</t>
  </si>
  <si>
    <t>DEADWEIGHT (DWT)</t>
  </si>
  <si>
    <t>10768.3</t>
  </si>
  <si>
    <t>GRT</t>
  </si>
  <si>
    <t>74656</t>
  </si>
  <si>
    <t>NET</t>
  </si>
  <si>
    <t>41411</t>
  </si>
  <si>
    <t>DELIVERED</t>
  </si>
  <si>
    <t>2003</t>
  </si>
  <si>
    <t>OWNER</t>
  </si>
  <si>
    <t>ALPHEUS OCEANWAY LIMITED</t>
  </si>
  <si>
    <t>MANAGER</t>
  </si>
  <si>
    <t>MSC SHIPMANAGEMENT LIMITED</t>
  </si>
  <si>
    <t>CALL SIGN</t>
  </si>
  <si>
    <t>5LHF8</t>
  </si>
  <si>
    <t>TYPE</t>
  </si>
  <si>
    <t>Container Carrier</t>
  </si>
  <si>
    <t>LOA (m)</t>
  </si>
  <si>
    <t>303.834</t>
  </si>
  <si>
    <t>LBP (m)</t>
  </si>
  <si>
    <t>294.11</t>
  </si>
  <si>
    <t>BREADTH (m)</t>
  </si>
  <si>
    <t>40.00</t>
  </si>
  <si>
    <t>DEPTH (m)</t>
  </si>
  <si>
    <t>20.16</t>
  </si>
  <si>
    <t>LIGHT SHIP (mt)</t>
  </si>
  <si>
    <t>26886.4</t>
  </si>
  <si>
    <t>⚑  This sheet is the data source for all other tabs. Do not print.</t>
  </si>
  <si>
    <t>Vessel</t>
  </si>
  <si>
    <t>IMO</t>
  </si>
  <si>
    <t>Voyage</t>
  </si>
  <si>
    <t>Flag</t>
  </si>
  <si>
    <t>Port</t>
  </si>
  <si>
    <t>Terminal</t>
  </si>
  <si>
    <t>Survey</t>
  </si>
  <si>
    <t>Date</t>
  </si>
  <si>
    <t>QUANTITIES SUMMARY</t>
  </si>
  <si>
    <t>DESCRIPTION</t>
  </si>
  <si>
    <t>GRADE</t>
  </si>
  <si>
    <t>SURVEYOR (MT)</t>
  </si>
  <si>
    <t>LOGBOOK (MT)</t>
  </si>
  <si>
    <t>DIFF (MT)</t>
  </si>
  <si>
    <t>DIFF (%)</t>
  </si>
  <si>
    <t>Actual qty per surveyor</t>
  </si>
  <si>
    <t>914.637</t>
  </si>
  <si>
    <t>MT</t>
  </si>
  <si>
    <t>Logbook / Berthing Report</t>
  </si>
  <si>
    <t>822.9</t>
  </si>
  <si>
    <t>Difference</t>
  </si>
  <si>
    <t>1145.819</t>
  </si>
  <si>
    <t>1206.46</t>
  </si>
  <si>
    <t>0</t>
  </si>
  <si>
    <t>217.406</t>
  </si>
  <si>
    <t>184.89</t>
  </si>
  <si>
    <t>SLUDGE</t>
  </si>
  <si>
    <t>Actual quantity – surveyor</t>
  </si>
  <si>
    <t>216.163</t>
  </si>
  <si>
    <t>m³</t>
  </si>
  <si>
    <t>202.4</t>
  </si>
  <si>
    <t>Last sludge discharge date</t>
  </si>
  <si>
    <t>November 23th, 2024</t>
  </si>
  <si>
    <t>Last discharge quantity</t>
  </si>
  <si>
    <t>166.3</t>
  </si>
  <si>
    <t>Sludge retained after last discharge</t>
  </si>
  <si>
    <t>146.3</t>
  </si>
  <si>
    <t>Sludge generated from last discharge</t>
  </si>
  <si>
    <t>56.1</t>
  </si>
  <si>
    <t>IFO consumption since last discharge</t>
  </si>
  <si>
    <t>2158.547</t>
  </si>
  <si>
    <t>Sludge generation rate (incl. water)</t>
  </si>
  <si>
    <t>2.60</t>
  </si>
  <si>
    <t>%</t>
  </si>
  <si>
    <t>Disposed at port</t>
  </si>
  <si>
    <t>69.09</t>
  </si>
  <si>
    <t>ROB of sludge after disposal</t>
  </si>
  <si>
    <t>133.31</t>
  </si>
  <si>
    <t>CHIEF ENGINEER:</t>
  </si>
  <si>
    <t>SURVEYOR:</t>
  </si>
  <si>
    <t>VESSEL'S SOUNDING / ULLAGE REPORT</t>
  </si>
  <si>
    <t>BEFORE DISPOSAL</t>
  </si>
  <si>
    <t>AFTER DISPOSAL</t>
  </si>
  <si>
    <t>Draft Fore:</t>
  </si>
  <si>
    <t>m</t>
  </si>
  <si>
    <t>Draft Aft:</t>
  </si>
  <si>
    <t>Trim:</t>
  </si>
  <si>
    <t>Tank</t>
  </si>
  <si>
    <t>Grade</t>
  </si>
  <si>
    <t>Sounding
(m)</t>
  </si>
  <si>
    <t>Temp
(°C)</t>
  </si>
  <si>
    <t>Total Vol
(m³)</t>
  </si>
  <si>
    <t>Free Water
(Dip)</t>
  </si>
  <si>
    <t>Gross Obs
Vol (m³)</t>
  </si>
  <si>
    <t>VCF
Tab 54B</t>
  </si>
  <si>
    <t>Density
@15°C</t>
  </si>
  <si>
    <t>Gross Std Vol
@15°C</t>
  </si>
  <si>
    <t>In Vac
(MT)</t>
  </si>
  <si>
    <t>In Air
(MT)</t>
  </si>
  <si>
    <t>FO TK 5 P</t>
  </si>
  <si>
    <t>0.25</t>
  </si>
  <si>
    <t>28</t>
  </si>
  <si>
    <t>7.365</t>
  </si>
  <si>
    <t>Nil</t>
  </si>
  <si>
    <t>0.991</t>
  </si>
  <si>
    <t>0.9802</t>
  </si>
  <si>
    <t>7.299</t>
  </si>
  <si>
    <t>7.154</t>
  </si>
  <si>
    <t>7.146</t>
  </si>
  <si>
    <t>FO TK 5 S</t>
  </si>
  <si>
    <t>0.00</t>
  </si>
  <si>
    <t>0.400</t>
  </si>
  <si>
    <t>0.396</t>
  </si>
  <si>
    <t>0.389</t>
  </si>
  <si>
    <t>0.388</t>
  </si>
  <si>
    <t>FO TK 6 P</t>
  </si>
  <si>
    <t>15.41 U</t>
  </si>
  <si>
    <t>39</t>
  </si>
  <si>
    <t>48.26</t>
  </si>
  <si>
    <t>0.9833</t>
  </si>
  <si>
    <t>47.45</t>
  </si>
  <si>
    <t>46.51</t>
  </si>
  <si>
    <t>46.46</t>
  </si>
  <si>
    <t>FO TK 6 S</t>
  </si>
  <si>
    <t>8.06 U</t>
  </si>
  <si>
    <t>40</t>
  </si>
  <si>
    <t>502.17</t>
  </si>
  <si>
    <t>0.9826</t>
  </si>
  <si>
    <t>493.43</t>
  </si>
  <si>
    <t>483.66</t>
  </si>
  <si>
    <t>483.12</t>
  </si>
  <si>
    <t>FO TK D8</t>
  </si>
  <si>
    <t>4.35 U</t>
  </si>
  <si>
    <t>36</t>
  </si>
  <si>
    <t>203.20</t>
  </si>
  <si>
    <t>0.9854</t>
  </si>
  <si>
    <t>200.23</t>
  </si>
  <si>
    <t>196.27</t>
  </si>
  <si>
    <t>196.05</t>
  </si>
  <si>
    <t>FO TK SETT</t>
  </si>
  <si>
    <t>4.51 U</t>
  </si>
  <si>
    <t>84</t>
  </si>
  <si>
    <t>102.18</t>
  </si>
  <si>
    <t>0.9517</t>
  </si>
  <si>
    <t>97.24</t>
  </si>
  <si>
    <t>95.32</t>
  </si>
  <si>
    <t>95.21</t>
  </si>
  <si>
    <t>FO TK SERV</t>
  </si>
  <si>
    <t>6.03 U</t>
  </si>
  <si>
    <t>90</t>
  </si>
  <si>
    <t>86.19</t>
  </si>
  <si>
    <t>0.9475</t>
  </si>
  <si>
    <t>81.67</t>
  </si>
  <si>
    <t>80.05</t>
  </si>
  <si>
    <t>79.96</t>
  </si>
  <si>
    <t>FO OVERFLOW</t>
  </si>
  <si>
    <t>0.20</t>
  </si>
  <si>
    <t>6.55</t>
  </si>
  <si>
    <t>6.44</t>
  </si>
  <si>
    <t>6.31</t>
  </si>
  <si>
    <t>6.30</t>
  </si>
  <si>
    <t>MDO TK 1</t>
  </si>
  <si>
    <t>DIST</t>
  </si>
  <si>
    <t>1.20</t>
  </si>
  <si>
    <t>55.10</t>
  </si>
  <si>
    <t>0.8850</t>
  </si>
  <si>
    <t>0.8464</t>
  </si>
  <si>
    <t>48.75</t>
  </si>
  <si>
    <t>41.27</t>
  </si>
  <si>
    <t>41.22</t>
  </si>
  <si>
    <t>MDO SETT</t>
  </si>
  <si>
    <t>2.28</t>
  </si>
  <si>
    <t>29</t>
  </si>
  <si>
    <t>45.01</t>
  </si>
  <si>
    <t>0.9883</t>
  </si>
  <si>
    <t>44.48</t>
  </si>
  <si>
    <t>37.65</t>
  </si>
  <si>
    <t>37.60</t>
  </si>
  <si>
    <t>Total R HS</t>
  </si>
  <si>
    <t>956.315</t>
  </si>
  <si>
    <t>934.16</t>
  </si>
  <si>
    <t>915.664</t>
  </si>
  <si>
    <t>Total R VLS</t>
  </si>
  <si>
    <t>1228.83</t>
  </si>
  <si>
    <t>1206.37</t>
  </si>
  <si>
    <t>1141.23</t>
  </si>
  <si>
    <t>1139.90</t>
  </si>
  <si>
    <t>Total R ULS</t>
  </si>
  <si>
    <t>Total DISTILLATES</t>
  </si>
  <si>
    <t>251.07</t>
  </si>
  <si>
    <t>248.55</t>
  </si>
  <si>
    <t>217.68</t>
  </si>
  <si>
    <t>217.41</t>
  </si>
  <si>
    <t>SLUDGE SUMMARY</t>
  </si>
  <si>
    <t>MISCELLANEOUS</t>
  </si>
  <si>
    <t>Sounding (m)</t>
  </si>
  <si>
    <t>BILGE HT</t>
  </si>
  <si>
    <t>BILGE W.H. TK</t>
  </si>
  <si>
    <t>0.71</t>
  </si>
  <si>
    <t>29.44</t>
  </si>
  <si>
    <t>TOTAL</t>
  </si>
  <si>
    <t>SLUDGE TANKS — SURVEYOR</t>
  </si>
  <si>
    <t>SLUDGE TK</t>
  </si>
  <si>
    <t>2.17</t>
  </si>
  <si>
    <t>168.256</t>
  </si>
  <si>
    <t>1.85</t>
  </si>
  <si>
    <t>141.04</t>
  </si>
  <si>
    <t>DIRTY OIL TK</t>
  </si>
  <si>
    <t>2.00</t>
  </si>
  <si>
    <t>47.607</t>
  </si>
  <si>
    <t>0.47</t>
  </si>
  <si>
    <t>5.73</t>
  </si>
  <si>
    <t>SCAVENGE AIR D. TK</t>
  </si>
  <si>
    <t>0.29</t>
  </si>
  <si>
    <t>0.100</t>
  </si>
  <si>
    <t>0.10</t>
  </si>
  <si>
    <t>AUX. BOILER W.O SERV</t>
  </si>
  <si>
    <t>0.05</t>
  </si>
  <si>
    <t>0.200</t>
  </si>
  <si>
    <t>AUX. BOILER W.O SETT</t>
  </si>
  <si>
    <t>0.000</t>
  </si>
  <si>
    <t>SLUDGE STATISTICS</t>
  </si>
  <si>
    <t>Last sludge disposal</t>
  </si>
  <si>
    <t>Quantity disposed last time</t>
  </si>
  <si>
    <t>166.30</t>
  </si>
  <si>
    <t>Sludge retained after last disposal</t>
  </si>
  <si>
    <t>146.30</t>
  </si>
  <si>
    <t>Sludge production (observed)</t>
  </si>
  <si>
    <t>69.86</t>
  </si>
  <si>
    <t>Log book IFO consumption</t>
  </si>
  <si>
    <t>2093.39</t>
  </si>
  <si>
    <t>Sludge rate of production</t>
  </si>
  <si>
    <t>3.34</t>
  </si>
  <si>
    <t>Sludge retained on board</t>
  </si>
  <si>
    <t>147.07</t>
  </si>
  <si>
    <t>SLUDGE DISPOSAL TIME LOG</t>
  </si>
  <si>
    <t>Truck</t>
  </si>
  <si>
    <t>Plate</t>
  </si>
  <si>
    <t>Start</t>
  </si>
  <si>
    <t>Finish</t>
  </si>
  <si>
    <t>Duration</t>
  </si>
  <si>
    <t>Qty (m³)</t>
  </si>
  <si>
    <t>1st</t>
  </si>
  <si>
    <t>MAQ-3348</t>
  </si>
  <si>
    <t>13:00</t>
  </si>
  <si>
    <t>15:00</t>
  </si>
  <si>
    <t>02:00</t>
  </si>
  <si>
    <t>35.20</t>
  </si>
  <si>
    <t>2nd</t>
  </si>
  <si>
    <t>GAT-7C71</t>
  </si>
  <si>
    <t>16:00</t>
  </si>
  <si>
    <t>18:00</t>
  </si>
  <si>
    <t>33.90</t>
  </si>
  <si>
    <t>3rd</t>
  </si>
  <si>
    <t>4th</t>
  </si>
  <si>
    <t>CONSUMPTION REPORT</t>
  </si>
  <si>
    <t>From:</t>
  </si>
  <si>
    <t>2024-11-28</t>
  </si>
  <si>
    <t>To:</t>
  </si>
  <si>
    <t>2025-01-09</t>
  </si>
  <si>
    <t>LOG BOOK AUDIT</t>
  </si>
  <si>
    <t>Log ROB (MT)</t>
  </si>
  <si>
    <t>Bunkering (MT)</t>
  </si>
  <si>
    <t>Others (MT)</t>
  </si>
  <si>
    <t>Adjusted (MT)</t>
  </si>
  <si>
    <t>Consumption (MT)</t>
  </si>
  <si>
    <t>Berthing Report</t>
  </si>
  <si>
    <t>2897.818</t>
  </si>
  <si>
    <t>2074.918</t>
  </si>
  <si>
    <t>784.2</t>
  </si>
  <si>
    <t>500.829</t>
  </si>
  <si>
    <t>1203.1</t>
  </si>
  <si>
    <t>81.929</t>
  </si>
  <si>
    <t>188.4</t>
  </si>
  <si>
    <t>186.7</t>
  </si>
  <si>
    <t>1.7</t>
  </si>
  <si>
    <t>972.6</t>
  </si>
  <si>
    <t>3398.647</t>
  </si>
  <si>
    <t>2212.7</t>
  </si>
  <si>
    <t>2214.25</t>
  </si>
  <si>
    <t>FLOWMETER READINGS</t>
  </si>
  <si>
    <t>Main Engine</t>
  </si>
  <si>
    <t>Aux. Engine</t>
  </si>
  <si>
    <t>Boiler</t>
  </si>
  <si>
    <t>Comments</t>
  </si>
  <si>
    <t>All Grades</t>
  </si>
  <si>
    <t>Previous Survey</t>
  </si>
  <si>
    <t>Actual survey</t>
  </si>
  <si>
    <t>Dif (m³)</t>
  </si>
  <si>
    <t>S.G.</t>
  </si>
  <si>
    <t>1</t>
  </si>
  <si>
    <t>TOTAL (MT)</t>
  </si>
  <si>
    <t>REMARKS:</t>
  </si>
  <si>
    <t>TIME LOG REPORT</t>
  </si>
  <si>
    <t>Description</t>
  </si>
  <si>
    <t>Time</t>
  </si>
  <si>
    <t>Surveyor arrived at terminal</t>
  </si>
  <si>
    <t>08:10h/lt</t>
  </si>
  <si>
    <t>Surveyor authorized by terminal to board vessel</t>
  </si>
  <si>
    <t>08:20h/lt</t>
  </si>
  <si>
    <t>Surveyor on board</t>
  </si>
  <si>
    <t>08:40h/lt</t>
  </si>
  <si>
    <t>Meeting with Chief Engineer</t>
  </si>
  <si>
    <t>08:50 × 10:20h/lt</t>
  </si>
  <si>
    <t>Opening soundings</t>
  </si>
  <si>
    <t>Waiting trucks</t>
  </si>
  <si>
    <t>Trucks arrived</t>
  </si>
  <si>
    <t>12:00h/lt</t>
  </si>
  <si>
    <t>Pumping operation</t>
  </si>
  <si>
    <t>13:00 × 18:00h/lt</t>
  </si>
  <si>
    <t>Closing soundings</t>
  </si>
  <si>
    <t>Calculation</t>
  </si>
  <si>
    <t>18:10 × 18:50h/lt</t>
  </si>
  <si>
    <t>Documents signed</t>
  </si>
  <si>
    <t>19:25h/lt</t>
  </si>
  <si>
    <t>Surveyor left board</t>
  </si>
  <si>
    <t>19:40h/lt</t>
  </si>
  <si>
    <t>DOCUMENTS RECEIVED</t>
  </si>
  <si>
    <t>Ship's Particulars</t>
  </si>
  <si>
    <t>No</t>
  </si>
  <si>
    <t>Crew list</t>
  </si>
  <si>
    <t>BDN — Bunker Delivery Note (if applicable)</t>
  </si>
  <si>
    <t>Berthing message (VRS with ROB Bunker and Sludge)</t>
  </si>
  <si>
    <t>Last manual sounding</t>
  </si>
  <si>
    <t>Sludge message (sent after disposal)</t>
  </si>
  <si>
    <t>Copy of Oil Record Book</t>
  </si>
  <si>
    <t>Copy of last survey report</t>
  </si>
  <si>
    <t>Copy of last flowmeter calibration certificate (ME)</t>
  </si>
  <si>
    <t>Copy of last flowmeter calibration certificate (AE)</t>
  </si>
  <si>
    <t>MSC TELEX / FINAL REPORT — AUTO FIELDS</t>
  </si>
  <si>
    <t>(/SURVEY)</t>
  </si>
  <si>
    <t>(VSL)</t>
  </si>
  <si>
    <t>(PORT)</t>
  </si>
  <si>
    <t>(VOY)</t>
  </si>
  <si>
    <t>(DATE)</t>
  </si>
  <si>
    <t>(SURVEYOR)</t>
  </si>
  <si>
    <t>(SURVEY TYPE)</t>
  </si>
  <si>
    <t>(CHIEF ENGINEER)</t>
  </si>
  <si>
    <t>(CAPTAIN)</t>
  </si>
  <si>
    <t>(ROB ACTUAL R HS)</t>
  </si>
  <si>
    <t>(ROB ACTUAL R VLS)</t>
  </si>
  <si>
    <t>(ROB ACTUAL DIST)</t>
  </si>
  <si>
    <t>(ROB ACTUAL SLUDGE)</t>
  </si>
  <si>
    <t>(SLUDGE DISPOSED)</t>
  </si>
  <si>
    <t>(TRIM)</t>
  </si>
  <si>
    <t>⚑  This sheet is auto-filled from Summary. Do not edit manually.</t>
  </si>
  <si>
    <t>DENSITY AT 15°C</t>
  </si>
  <si>
    <t>FCW VACUO-AR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</si>
</sst>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17" x14ac:knownFonts="1">
    <font>
      <sz val="11"/>
      <color theme="1"/>
      <name val="Calibri"/>
      <family val="2"/>
      <scheme val="minor"/>
    </font>
    <font>
      <i/>
      <sz val="9"/>
      <color rgb="FF6A8FB0"/>
      <name val="Arial"/>
    </font>
    <font>
      <b/>
      <sz val="13"/>
      <color rgb="FF1B3A5C"/>
      <name val="Arial"/>
    </font>
    <font>
      <sz val="8"/>
      <color rgb="FF4A4A4A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1B3A5C"/>
      <name val="Arial"/>
    </font>
    <font>
      <sz val="10"/>
      <color rgb="FF1A1A1A"/>
      <name val="Arial"/>
    </font>
    <font>
      <b/>
      <sz val="9"/>
      <color rgb="FF1B3A5C"/>
      <name val="Arial"/>
    </font>
    <font>
      <sz val="9"/>
      <color rgb="FF1A1A1A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B3A5C"/>
      <name val="Arial"/>
    </font>
    <font>
      <sz val="10"/>
      <color rgb="FF000000"/>
      <name val="Arial"/>
    </font>
    <font>
      <b/>
      <sz val="10"/>
      <color rgb="FF1A1A1A"/>
      <name val="Arial"/>
    </font>
    <font>
      <sz val="9"/>
      <color rgb="FF6A8FB0"/>
      <name val="Arial"/>
    </font>
    <font>
      <b/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0F5FA"/>
      </patternFill>
    </fill>
    <fill>
      <patternFill patternType="solid">
        <fgColor rgb="FF1B3A5C"/>
      </patternFill>
    </fill>
    <fill>
      <patternFill patternType="solid">
        <fgColor rgb="FF2A5F8E"/>
      </patternFill>
    </fill>
    <fill>
      <patternFill patternType="solid">
        <fgColor rgb="FFFFFF9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0C8E0"/>
      </left>
      <right style="thin">
        <color rgb="FFB0C8E0"/>
      </right>
      <top style="thin">
        <color rgb="FFB0C8E0"/>
      </top>
      <bottom style="thin">
        <color rgb="FFB0C8E0"/>
      </bottom>
      <diagonal/>
    </border>
    <border>
      <left/>
      <right/>
      <top style="thin">
        <color rgb="FFB0C8E0"/>
      </top>
      <bottom style="thin">
        <color rgb="FFB0C8E0"/>
      </bottom>
      <diagonal/>
    </border>
    <border>
      <left/>
      <right style="thin">
        <color rgb="FFB0C8E0"/>
      </right>
      <top style="thin">
        <color rgb="FFB0C8E0"/>
      </top>
      <bottom style="thin">
        <color rgb="FFB0C8E0"/>
      </bottom>
      <diagonal/>
    </border>
    <border>
      <left style="thin">
        <color rgb="FFB0C8E0"/>
      </left>
      <right style="thin">
        <color rgb="FFB0C8E0"/>
      </right>
      <top/>
      <bottom/>
      <diagonal/>
    </border>
    <border>
      <left style="thin">
        <color rgb="FFB0C8E0"/>
      </left>
      <right style="thin">
        <color rgb="FFB0C8E0"/>
      </right>
      <top/>
      <bottom style="thin">
        <color rgb="FFB0C8E0"/>
      </bottom>
      <diagonal/>
    </border>
    <border>
      <left/>
      <right/>
      <top/>
      <bottom style="medium">
        <color rgb="FF1B3A5C"/>
      </bottom>
      <diagonal/>
    </border>
    <border>
      <left/>
      <right/>
      <top/>
      <bottom style="medium">
        <color rgb="FF1B3A5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3" borderId="1" xfId="0" applyFill="1" applyBorder="1"/>
    <xf numFmtId="0" fontId="7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right" vertical="center"/>
    </xf>
    <xf numFmtId="0" fontId="0" fillId="0" borderId="2" xfId="0" applyBorder="1"/>
    <xf numFmtId="0" fontId="15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right" vertical="center"/>
    </xf>
    <xf numFmtId="10" fontId="13" fillId="6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right" vertical="center"/>
    </xf>
    <xf numFmtId="0" fontId="0" fillId="4" borderId="2" xfId="0" applyFill="1" applyBorder="1"/>
    <xf numFmtId="0" fontId="8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1" fillId="3" borderId="2" xfId="0" applyFont="1" applyFill="1" applyBorder="1" applyAlignment="1">
      <alignment horizontal="right" vertical="center"/>
    </xf>
    <xf numFmtId="0" fontId="0" fillId="2" borderId="2" xfId="0" applyFill="1" applyBorder="1"/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right" vertical="center"/>
    </xf>
    <xf numFmtId="0" fontId="0" fillId="0" borderId="0" xfId="0"/>
    <xf numFmtId="0" fontId="6" fillId="2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4" xfId="0" applyFill="1" applyBorder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7" fillId="2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1" fillId="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0" fillId="0" borderId="8" xfId="0" applyBorder="1"/>
    <xf numFmtId="0" fontId="10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11" fillId="4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showGridLines="0" workbookViewId="0">
      <selection sqref="A1:B4"/>
    </sheetView>
  </sheetViews>
  <sheetFormatPr defaultRowHeight="14.4" x14ac:dyDescent="0.3"/>
  <cols>
    <col min="1" max="1" width="22" customWidth="1"/>
    <col min="2" max="2" width="38" customWidth="1"/>
    <col min="3" max="3" width="2" customWidth="1"/>
    <col min="4" max="4" width="20" customWidth="1"/>
    <col min="5" max="5" width="30" customWidth="1"/>
    <col min="6" max="6" width="2" customWidth="1"/>
    <col min="7" max="7" width="18" customWidth="1"/>
    <col min="8" max="8" width="2" customWidth="1"/>
  </cols>
  <sheetData>
    <row r="1" spans="1:8" ht="13.95" customHeight="1" x14ac:dyDescent="0.3">
      <c r="A1" s="55" t="s">
        <v>0</v>
      </c>
      <c r="B1" s="56"/>
      <c r="D1" s="53" t="s">
        <v>1</v>
      </c>
      <c r="E1" s="47"/>
      <c r="F1" s="47"/>
      <c r="G1" s="47"/>
    </row>
    <row r="2" spans="1:8" x14ac:dyDescent="0.3">
      <c r="A2" s="56"/>
      <c r="B2" s="56"/>
      <c r="D2" s="46" t="s">
        <v>2</v>
      </c>
      <c r="E2" s="47"/>
      <c r="F2" s="47"/>
      <c r="G2" s="47"/>
    </row>
    <row r="3" spans="1:8" x14ac:dyDescent="0.3">
      <c r="A3" s="56"/>
      <c r="B3" s="56"/>
      <c r="D3" s="46" t="s">
        <v>3</v>
      </c>
      <c r="E3" s="47"/>
      <c r="F3" s="47"/>
      <c r="G3" s="47"/>
    </row>
    <row r="4" spans="1:8" x14ac:dyDescent="0.3">
      <c r="A4" s="56"/>
      <c r="B4" s="56"/>
      <c r="D4" s="46"/>
      <c r="E4" s="47"/>
      <c r="F4" s="47"/>
      <c r="G4" s="47"/>
    </row>
    <row r="5" spans="1:8" ht="3" customHeight="1" x14ac:dyDescent="0.3">
      <c r="A5" s="1"/>
      <c r="B5" s="1"/>
      <c r="C5" s="1"/>
      <c r="D5" s="1"/>
      <c r="E5" s="1"/>
      <c r="F5" s="1"/>
      <c r="G5" s="1"/>
      <c r="H5" s="1"/>
    </row>
    <row r="6" spans="1:8" ht="24" customHeight="1" x14ac:dyDescent="0.3">
      <c r="A6" s="49" t="s">
        <v>4</v>
      </c>
      <c r="B6" s="47"/>
      <c r="C6" s="47"/>
      <c r="D6" s="47"/>
      <c r="E6" s="47"/>
      <c r="F6" s="47"/>
      <c r="G6" s="47"/>
      <c r="H6" s="47"/>
    </row>
    <row r="7" spans="1:8" ht="4.95" customHeight="1" x14ac:dyDescent="0.3"/>
    <row r="8" spans="1:8" ht="18" customHeight="1" x14ac:dyDescent="0.3">
      <c r="A8" s="50" t="s">
        <v>5</v>
      </c>
      <c r="B8" s="51"/>
      <c r="C8" s="51"/>
      <c r="D8" s="51"/>
      <c r="E8" s="51"/>
      <c r="F8" s="51"/>
      <c r="G8" s="51"/>
      <c r="H8" s="52"/>
    </row>
    <row r="9" spans="1:8" ht="16.05" customHeight="1" x14ac:dyDescent="0.3">
      <c r="A9" s="48" t="s">
        <v>6</v>
      </c>
      <c r="B9" s="45"/>
      <c r="C9" s="43" t="s">
        <v>7</v>
      </c>
      <c r="D9" s="44"/>
      <c r="E9" s="44"/>
      <c r="F9" s="44"/>
      <c r="G9" s="44"/>
      <c r="H9" s="45"/>
    </row>
    <row r="10" spans="1:8" ht="16.05" customHeight="1" x14ac:dyDescent="0.3">
      <c r="A10" s="48" t="s">
        <v>8</v>
      </c>
      <c r="B10" s="45"/>
      <c r="C10" s="43" t="s">
        <v>9</v>
      </c>
      <c r="D10" s="44"/>
      <c r="E10" s="44"/>
      <c r="F10" s="44"/>
      <c r="G10" s="44"/>
      <c r="H10" s="45"/>
    </row>
    <row r="11" spans="1:8" ht="16.05" customHeight="1" x14ac:dyDescent="0.3">
      <c r="A11" s="48" t="s">
        <v>10</v>
      </c>
      <c r="B11" s="45"/>
      <c r="C11" s="43" t="s">
        <v>11</v>
      </c>
      <c r="D11" s="44"/>
      <c r="E11" s="44"/>
      <c r="F11" s="44"/>
      <c r="G11" s="44"/>
      <c r="H11" s="45"/>
    </row>
    <row r="12" spans="1:8" ht="16.05" customHeight="1" x14ac:dyDescent="0.3">
      <c r="A12" s="48" t="s">
        <v>12</v>
      </c>
      <c r="B12" s="45"/>
      <c r="C12" s="43" t="s">
        <v>13</v>
      </c>
      <c r="D12" s="44"/>
      <c r="E12" s="44"/>
      <c r="F12" s="44"/>
      <c r="G12" s="44"/>
      <c r="H12" s="45"/>
    </row>
    <row r="13" spans="1:8" ht="16.05" customHeight="1" x14ac:dyDescent="0.3">
      <c r="A13" s="48" t="s">
        <v>14</v>
      </c>
      <c r="B13" s="45"/>
      <c r="C13" s="43" t="s">
        <v>15</v>
      </c>
      <c r="D13" s="44"/>
      <c r="E13" s="44"/>
      <c r="F13" s="44"/>
      <c r="G13" s="44"/>
      <c r="H13" s="45"/>
    </row>
    <row r="14" spans="1:8" ht="16.05" customHeight="1" x14ac:dyDescent="0.3">
      <c r="A14" s="48" t="s">
        <v>16</v>
      </c>
      <c r="B14" s="45"/>
      <c r="C14" s="43" t="s">
        <v>17</v>
      </c>
      <c r="D14" s="44"/>
      <c r="E14" s="44"/>
      <c r="F14" s="44"/>
      <c r="G14" s="44"/>
      <c r="H14" s="45"/>
    </row>
    <row r="15" spans="1:8" ht="16.05" customHeight="1" x14ac:dyDescent="0.3">
      <c r="A15" s="48" t="s">
        <v>18</v>
      </c>
      <c r="B15" s="45"/>
      <c r="C15" s="43" t="s">
        <v>19</v>
      </c>
      <c r="D15" s="44"/>
      <c r="E15" s="44"/>
      <c r="F15" s="44"/>
      <c r="G15" s="44"/>
      <c r="H15" s="45"/>
    </row>
    <row r="16" spans="1:8" ht="16.05" customHeight="1" x14ac:dyDescent="0.3">
      <c r="A16" s="48" t="s">
        <v>20</v>
      </c>
      <c r="B16" s="45"/>
      <c r="C16" s="43" t="s">
        <v>21</v>
      </c>
      <c r="D16" s="44"/>
      <c r="E16" s="44"/>
      <c r="F16" s="44"/>
      <c r="G16" s="44"/>
      <c r="H16" s="45"/>
    </row>
    <row r="17" spans="1:8" ht="16.05" customHeight="1" x14ac:dyDescent="0.3">
      <c r="A17" s="48" t="s">
        <v>22</v>
      </c>
      <c r="B17" s="45"/>
      <c r="C17" s="43" t="s">
        <v>23</v>
      </c>
      <c r="D17" s="44"/>
      <c r="E17" s="44"/>
      <c r="F17" s="44"/>
      <c r="G17" s="44"/>
      <c r="H17" s="45"/>
    </row>
    <row r="18" spans="1:8" ht="16.05" customHeight="1" x14ac:dyDescent="0.3">
      <c r="A18" s="48" t="s">
        <v>24</v>
      </c>
      <c r="B18" s="45"/>
      <c r="C18" s="43" t="s">
        <v>25</v>
      </c>
      <c r="D18" s="44"/>
      <c r="E18" s="44"/>
      <c r="F18" s="44"/>
      <c r="G18" s="44"/>
      <c r="H18" s="45"/>
    </row>
    <row r="19" spans="1:8" ht="16.05" customHeight="1" x14ac:dyDescent="0.3">
      <c r="A19" s="48" t="s">
        <v>26</v>
      </c>
      <c r="B19" s="45"/>
      <c r="C19" s="43" t="s">
        <v>27</v>
      </c>
      <c r="D19" s="44"/>
      <c r="E19" s="44"/>
      <c r="F19" s="44"/>
      <c r="G19" s="44"/>
      <c r="H19" s="45"/>
    </row>
    <row r="20" spans="1:8" ht="16.05" customHeight="1" x14ac:dyDescent="0.3">
      <c r="A20" s="48" t="s">
        <v>28</v>
      </c>
      <c r="B20" s="45"/>
      <c r="C20" s="43" t="s">
        <v>29</v>
      </c>
      <c r="D20" s="44"/>
      <c r="E20" s="44"/>
      <c r="F20" s="44"/>
      <c r="G20" s="44"/>
      <c r="H20" s="45"/>
    </row>
    <row r="21" spans="1:8" ht="16.05" customHeight="1" x14ac:dyDescent="0.3">
      <c r="A21" s="48" t="s">
        <v>30</v>
      </c>
      <c r="B21" s="45"/>
      <c r="C21" s="43" t="s">
        <v>31</v>
      </c>
      <c r="D21" s="44"/>
      <c r="E21" s="44"/>
      <c r="F21" s="44"/>
      <c r="G21" s="44"/>
      <c r="H21" s="45"/>
    </row>
    <row r="22" spans="1:8" ht="16.05" customHeight="1" x14ac:dyDescent="0.3">
      <c r="A22" s="48" t="s">
        <v>32</v>
      </c>
      <c r="B22" s="45"/>
      <c r="C22" s="43" t="s">
        <v>33</v>
      </c>
      <c r="D22" s="44"/>
      <c r="E22" s="44"/>
      <c r="F22" s="44"/>
      <c r="G22" s="44"/>
      <c r="H22" s="45"/>
    </row>
    <row r="23" spans="1:8" ht="16.05" customHeight="1" x14ac:dyDescent="0.3">
      <c r="A23" s="48" t="s">
        <v>34</v>
      </c>
      <c r="B23" s="45"/>
      <c r="C23" s="43" t="s">
        <v>35</v>
      </c>
      <c r="D23" s="44"/>
      <c r="E23" s="44"/>
      <c r="F23" s="44"/>
      <c r="G23" s="44"/>
      <c r="H23" s="45"/>
    </row>
    <row r="25" spans="1:8" ht="18" customHeight="1" x14ac:dyDescent="0.3">
      <c r="A25" s="50" t="s">
        <v>36</v>
      </c>
      <c r="B25" s="51"/>
      <c r="C25" s="51"/>
      <c r="D25" s="51"/>
      <c r="E25" s="51"/>
      <c r="F25" s="51"/>
      <c r="G25" s="51"/>
      <c r="H25" s="52"/>
    </row>
    <row r="26" spans="1:8" ht="16.05" customHeight="1" x14ac:dyDescent="0.3">
      <c r="A26" s="48" t="s">
        <v>37</v>
      </c>
      <c r="B26" s="45"/>
      <c r="C26" s="43" t="s">
        <v>38</v>
      </c>
      <c r="D26" s="44"/>
      <c r="E26" s="44"/>
      <c r="F26" s="44"/>
      <c r="G26" s="44"/>
      <c r="H26" s="45"/>
    </row>
    <row r="27" spans="1:8" ht="16.05" customHeight="1" x14ac:dyDescent="0.3">
      <c r="A27" s="48" t="s">
        <v>39</v>
      </c>
      <c r="B27" s="45"/>
      <c r="C27" s="43" t="s">
        <v>40</v>
      </c>
      <c r="D27" s="44"/>
      <c r="E27" s="44"/>
      <c r="F27" s="44"/>
      <c r="G27" s="44"/>
      <c r="H27" s="45"/>
    </row>
    <row r="28" spans="1:8" ht="16.05" customHeight="1" x14ac:dyDescent="0.3">
      <c r="A28" s="48" t="s">
        <v>41</v>
      </c>
      <c r="B28" s="45"/>
      <c r="C28" s="43" t="s">
        <v>42</v>
      </c>
      <c r="D28" s="44"/>
      <c r="E28" s="44"/>
      <c r="F28" s="44"/>
      <c r="G28" s="44"/>
      <c r="H28" s="45"/>
    </row>
    <row r="29" spans="1:8" ht="16.05" customHeight="1" x14ac:dyDescent="0.3">
      <c r="A29" s="48" t="s">
        <v>43</v>
      </c>
      <c r="B29" s="45"/>
      <c r="C29" s="43" t="s">
        <v>44</v>
      </c>
      <c r="D29" s="44"/>
      <c r="E29" s="44"/>
      <c r="F29" s="44"/>
      <c r="G29" s="44"/>
      <c r="H29" s="45"/>
    </row>
    <row r="30" spans="1:8" ht="16.05" customHeight="1" x14ac:dyDescent="0.3">
      <c r="A30" s="48" t="s">
        <v>45</v>
      </c>
      <c r="B30" s="45"/>
      <c r="C30" s="43" t="s">
        <v>46</v>
      </c>
      <c r="D30" s="44"/>
      <c r="E30" s="44"/>
      <c r="F30" s="44"/>
      <c r="G30" s="44"/>
      <c r="H30" s="45"/>
    </row>
    <row r="31" spans="1:8" ht="16.05" customHeight="1" x14ac:dyDescent="0.3">
      <c r="A31" s="48" t="s">
        <v>47</v>
      </c>
      <c r="B31" s="45"/>
      <c r="C31" s="43" t="s">
        <v>48</v>
      </c>
      <c r="D31" s="44"/>
      <c r="E31" s="44"/>
      <c r="F31" s="44"/>
      <c r="G31" s="44"/>
      <c r="H31" s="45"/>
    </row>
    <row r="32" spans="1:8" ht="16.05" customHeight="1" x14ac:dyDescent="0.3">
      <c r="A32" s="48" t="s">
        <v>49</v>
      </c>
      <c r="B32" s="45"/>
      <c r="C32" s="43" t="s">
        <v>50</v>
      </c>
      <c r="D32" s="44"/>
      <c r="E32" s="44"/>
      <c r="F32" s="44"/>
      <c r="G32" s="44"/>
      <c r="H32" s="45"/>
    </row>
    <row r="33" spans="1:8" ht="16.05" customHeight="1" x14ac:dyDescent="0.3">
      <c r="A33" s="48" t="s">
        <v>51</v>
      </c>
      <c r="B33" s="45"/>
      <c r="C33" s="43" t="s">
        <v>52</v>
      </c>
      <c r="D33" s="44"/>
      <c r="E33" s="44"/>
      <c r="F33" s="44"/>
      <c r="G33" s="44"/>
      <c r="H33" s="45"/>
    </row>
    <row r="34" spans="1:8" ht="16.05" customHeight="1" x14ac:dyDescent="0.3">
      <c r="A34" s="48" t="s">
        <v>53</v>
      </c>
      <c r="B34" s="45"/>
      <c r="C34" s="43" t="s">
        <v>54</v>
      </c>
      <c r="D34" s="44"/>
      <c r="E34" s="44"/>
      <c r="F34" s="44"/>
      <c r="G34" s="44"/>
      <c r="H34" s="45"/>
    </row>
    <row r="35" spans="1:8" ht="16.05" customHeight="1" x14ac:dyDescent="0.3">
      <c r="A35" s="48" t="s">
        <v>55</v>
      </c>
      <c r="B35" s="45"/>
      <c r="C35" s="43" t="s">
        <v>56</v>
      </c>
      <c r="D35" s="44"/>
      <c r="E35" s="44"/>
      <c r="F35" s="44"/>
      <c r="G35" s="44"/>
      <c r="H35" s="45"/>
    </row>
    <row r="36" spans="1:8" ht="16.05" customHeight="1" x14ac:dyDescent="0.3">
      <c r="A36" s="48" t="s">
        <v>57</v>
      </c>
      <c r="B36" s="45"/>
      <c r="C36" s="43" t="s">
        <v>58</v>
      </c>
      <c r="D36" s="44"/>
      <c r="E36" s="44"/>
      <c r="F36" s="44"/>
      <c r="G36" s="44"/>
      <c r="H36" s="45"/>
    </row>
    <row r="37" spans="1:8" ht="16.05" customHeight="1" x14ac:dyDescent="0.3">
      <c r="A37" s="48" t="s">
        <v>59</v>
      </c>
      <c r="B37" s="45"/>
      <c r="C37" s="43" t="s">
        <v>60</v>
      </c>
      <c r="D37" s="44"/>
      <c r="E37" s="44"/>
      <c r="F37" s="44"/>
      <c r="G37" s="44"/>
      <c r="H37" s="45"/>
    </row>
    <row r="38" spans="1:8" ht="16.05" customHeight="1" x14ac:dyDescent="0.3">
      <c r="A38" s="48" t="s">
        <v>61</v>
      </c>
      <c r="B38" s="45"/>
      <c r="C38" s="43" t="s">
        <v>62</v>
      </c>
      <c r="D38" s="44"/>
      <c r="E38" s="44"/>
      <c r="F38" s="44"/>
      <c r="G38" s="44"/>
      <c r="H38" s="45"/>
    </row>
    <row r="39" spans="1:8" ht="16.05" customHeight="1" x14ac:dyDescent="0.3">
      <c r="A39" s="48" t="s">
        <v>63</v>
      </c>
      <c r="B39" s="45"/>
      <c r="C39" s="43" t="s">
        <v>64</v>
      </c>
      <c r="D39" s="44"/>
      <c r="E39" s="44"/>
      <c r="F39" s="44"/>
      <c r="G39" s="44"/>
      <c r="H39" s="45"/>
    </row>
    <row r="40" spans="1:8" ht="16.05" customHeight="1" x14ac:dyDescent="0.3">
      <c r="A40" s="48" t="s">
        <v>65</v>
      </c>
      <c r="B40" s="45"/>
      <c r="C40" s="43" t="s">
        <v>66</v>
      </c>
      <c r="D40" s="44"/>
      <c r="E40" s="44"/>
      <c r="F40" s="44"/>
      <c r="G40" s="44"/>
      <c r="H40" s="45"/>
    </row>
    <row r="41" spans="1:8" ht="16.05" customHeight="1" x14ac:dyDescent="0.3">
      <c r="A41" s="48" t="s">
        <v>67</v>
      </c>
      <c r="B41" s="45"/>
      <c r="C41" s="43" t="s">
        <v>68</v>
      </c>
      <c r="D41" s="44"/>
      <c r="E41" s="44"/>
      <c r="F41" s="44"/>
      <c r="G41" s="44"/>
      <c r="H41" s="45"/>
    </row>
    <row r="43" spans="1:8" x14ac:dyDescent="0.3">
      <c r="A43" s="54" t="s">
        <v>69</v>
      </c>
      <c r="B43" s="47"/>
      <c r="C43" s="47"/>
      <c r="D43" s="47"/>
      <c r="E43" s="47"/>
      <c r="F43" s="47"/>
      <c r="G43" s="47"/>
      <c r="H43" s="47"/>
    </row>
  </sheetData>
  <mergeCells count="71">
    <mergeCell ref="A29:B29"/>
    <mergeCell ref="C14:H14"/>
    <mergeCell ref="A43:H43"/>
    <mergeCell ref="A19:B19"/>
    <mergeCell ref="A10:B10"/>
    <mergeCell ref="A28:B28"/>
    <mergeCell ref="A13:B13"/>
    <mergeCell ref="C35:H35"/>
    <mergeCell ref="C20:H20"/>
    <mergeCell ref="A31:B31"/>
    <mergeCell ref="C29:H29"/>
    <mergeCell ref="A39:B39"/>
    <mergeCell ref="A34:B34"/>
    <mergeCell ref="A40:B40"/>
    <mergeCell ref="A12:B12"/>
    <mergeCell ref="A26:B26"/>
    <mergeCell ref="A21:B21"/>
    <mergeCell ref="C19:H19"/>
    <mergeCell ref="C32:H32"/>
    <mergeCell ref="C38:H38"/>
    <mergeCell ref="C28:H28"/>
    <mergeCell ref="C13:H13"/>
    <mergeCell ref="A33:B33"/>
    <mergeCell ref="C37:H37"/>
    <mergeCell ref="A32:B32"/>
    <mergeCell ref="A14:B14"/>
    <mergeCell ref="C18:H18"/>
    <mergeCell ref="A17:B17"/>
    <mergeCell ref="A23:B23"/>
    <mergeCell ref="A37:B37"/>
    <mergeCell ref="C39:H39"/>
    <mergeCell ref="D1:G1"/>
    <mergeCell ref="C17:H17"/>
    <mergeCell ref="A18:B18"/>
    <mergeCell ref="A27:B27"/>
    <mergeCell ref="D2:G2"/>
    <mergeCell ref="C34:H34"/>
    <mergeCell ref="A8:H8"/>
    <mergeCell ref="C30:H30"/>
    <mergeCell ref="A22:B22"/>
    <mergeCell ref="C15:H15"/>
    <mergeCell ref="C33:H33"/>
    <mergeCell ref="A35:B35"/>
    <mergeCell ref="A20:B20"/>
    <mergeCell ref="A38:B38"/>
    <mergeCell ref="A30:B30"/>
    <mergeCell ref="C41:H41"/>
    <mergeCell ref="C22:H22"/>
    <mergeCell ref="A11:B11"/>
    <mergeCell ref="C9:H9"/>
    <mergeCell ref="C40:H40"/>
    <mergeCell ref="C31:H31"/>
    <mergeCell ref="A36:B36"/>
    <mergeCell ref="C12:H12"/>
    <mergeCell ref="C21:H21"/>
    <mergeCell ref="C11:H11"/>
    <mergeCell ref="A16:B16"/>
    <mergeCell ref="C36:H36"/>
    <mergeCell ref="A25:H25"/>
    <mergeCell ref="C27:H27"/>
    <mergeCell ref="A41:B41"/>
    <mergeCell ref="C26:H26"/>
    <mergeCell ref="C10:H10"/>
    <mergeCell ref="C16:H16"/>
    <mergeCell ref="D3:G3"/>
    <mergeCell ref="A15:B15"/>
    <mergeCell ref="A6:H6"/>
    <mergeCell ref="C23:H23"/>
    <mergeCell ref="A1:B4"/>
    <mergeCell ref="A9:B9"/>
    <mergeCell ref="D4:G4"/>
  </mergeCells>
  <printOptions horizontalCentered="1"/>
  <pageMargins left="0.4" right="0.4" top="0.6" bottom="0.6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6"/>
  <sheetViews>
    <sheetView showGridLines="0" topLeftCell="A21" workbookViewId="0">
      <selection sqref="A1:B4"/>
    </sheetView>
  </sheetViews>
  <sheetFormatPr defaultRowHeight="14.4" x14ac:dyDescent="0.3"/>
  <cols>
    <col min="1" max="1" width="2" customWidth="1"/>
    <col min="2" max="2" width="30" customWidth="1"/>
    <col min="3" max="3" width="2" customWidth="1"/>
    <col min="4" max="7" width="14" customWidth="1"/>
    <col min="8" max="8" width="6" customWidth="1"/>
    <col min="9" max="9" width="2" customWidth="1"/>
  </cols>
  <sheetData>
    <row r="1" spans="1:9" ht="16.8" x14ac:dyDescent="0.3">
      <c r="A1" s="55" t="s">
        <v>0</v>
      </c>
      <c r="B1" s="56"/>
      <c r="D1" s="53" t="s">
        <v>1</v>
      </c>
      <c r="E1" s="47"/>
      <c r="F1" s="47"/>
      <c r="G1" s="47"/>
      <c r="H1" s="47"/>
    </row>
    <row r="2" spans="1:9" x14ac:dyDescent="0.3">
      <c r="A2" s="56"/>
      <c r="B2" s="56"/>
      <c r="D2" s="46" t="s">
        <v>2</v>
      </c>
      <c r="E2" s="47"/>
      <c r="F2" s="47"/>
      <c r="G2" s="47"/>
      <c r="H2" s="47"/>
    </row>
    <row r="3" spans="1:9" x14ac:dyDescent="0.3">
      <c r="A3" s="56"/>
      <c r="B3" s="56"/>
      <c r="D3" s="46" t="s">
        <v>3</v>
      </c>
      <c r="E3" s="47"/>
      <c r="F3" s="47"/>
      <c r="G3" s="47"/>
      <c r="H3" s="47"/>
    </row>
    <row r="4" spans="1:9" x14ac:dyDescent="0.3">
      <c r="A4" s="56"/>
      <c r="B4" s="56"/>
      <c r="D4" s="46"/>
      <c r="E4" s="47"/>
      <c r="F4" s="47"/>
      <c r="G4" s="47"/>
      <c r="H4" s="47"/>
    </row>
    <row r="5" spans="1:9" ht="3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65" t="s">
        <v>70</v>
      </c>
      <c r="B6" s="45"/>
      <c r="C6" s="59">
        <f>Summary!B12</f>
        <v>0</v>
      </c>
      <c r="D6" s="44"/>
      <c r="E6" s="45"/>
      <c r="F6" s="3" t="s">
        <v>71</v>
      </c>
      <c r="G6" s="59">
        <f>Summary!B28</f>
        <v>0</v>
      </c>
      <c r="H6" s="44"/>
      <c r="I6" s="45"/>
    </row>
    <row r="7" spans="1:9" x14ac:dyDescent="0.3">
      <c r="A7" s="65" t="s">
        <v>72</v>
      </c>
      <c r="B7" s="45"/>
      <c r="C7" s="59">
        <f>Summary!B13</f>
        <v>0</v>
      </c>
      <c r="D7" s="44"/>
      <c r="E7" s="45"/>
      <c r="F7" s="3" t="s">
        <v>73</v>
      </c>
      <c r="G7" s="59">
        <f>Summary!B29</f>
        <v>0</v>
      </c>
      <c r="H7" s="44"/>
      <c r="I7" s="45"/>
    </row>
    <row r="8" spans="1:9" x14ac:dyDescent="0.3">
      <c r="A8" s="65" t="s">
        <v>74</v>
      </c>
      <c r="B8" s="45"/>
      <c r="C8" s="59">
        <f>Summary!B21</f>
        <v>0</v>
      </c>
      <c r="D8" s="44"/>
      <c r="E8" s="45"/>
      <c r="F8" s="3" t="s">
        <v>75</v>
      </c>
      <c r="G8" s="59">
        <f>Summary!B20</f>
        <v>0</v>
      </c>
      <c r="H8" s="44"/>
      <c r="I8" s="45"/>
    </row>
    <row r="9" spans="1:9" x14ac:dyDescent="0.3">
      <c r="A9" s="65" t="s">
        <v>76</v>
      </c>
      <c r="B9" s="45"/>
      <c r="C9" s="59">
        <f>Summary!B11</f>
        <v>0</v>
      </c>
      <c r="D9" s="44"/>
      <c r="E9" s="45"/>
      <c r="F9" s="3" t="s">
        <v>77</v>
      </c>
      <c r="G9" s="59">
        <f>Summary!B22</f>
        <v>0</v>
      </c>
      <c r="H9" s="44"/>
      <c r="I9" s="45"/>
    </row>
    <row r="11" spans="1:9" ht="25.95" customHeight="1" x14ac:dyDescent="0.3">
      <c r="B11" s="69" t="s">
        <v>78</v>
      </c>
      <c r="C11" s="47"/>
      <c r="D11" s="47"/>
      <c r="E11" s="47"/>
      <c r="F11" s="47"/>
      <c r="G11" s="47"/>
      <c r="H11" s="47"/>
    </row>
    <row r="12" spans="1:9" ht="18" customHeight="1" x14ac:dyDescent="0.3">
      <c r="B12" s="66" t="s">
        <v>79</v>
      </c>
      <c r="C12" s="45"/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/>
    </row>
    <row r="13" spans="1:9" ht="16.05" customHeight="1" x14ac:dyDescent="0.3">
      <c r="B13" s="70" t="s">
        <v>18</v>
      </c>
      <c r="C13" s="71"/>
      <c r="D13" s="71"/>
      <c r="E13" s="71"/>
      <c r="F13" s="71"/>
      <c r="G13" s="71"/>
      <c r="H13" s="72"/>
    </row>
    <row r="14" spans="1:9" ht="15" customHeight="1" x14ac:dyDescent="0.3">
      <c r="B14" s="57" t="s">
        <v>85</v>
      </c>
      <c r="C14" s="45"/>
      <c r="D14" s="7">
        <f>Summary!B17</f>
        <v>0</v>
      </c>
      <c r="E14" s="8" t="s">
        <v>86</v>
      </c>
      <c r="F14" s="9"/>
      <c r="G14" s="9"/>
      <c r="H14" s="9"/>
      <c r="I14" s="61" t="s">
        <v>87</v>
      </c>
    </row>
    <row r="15" spans="1:9" ht="15" customHeight="1" x14ac:dyDescent="0.3">
      <c r="B15" s="60" t="s">
        <v>88</v>
      </c>
      <c r="C15" s="45"/>
      <c r="D15" s="12">
        <f>D14</f>
        <v>0</v>
      </c>
      <c r="E15" s="8" t="s">
        <v>89</v>
      </c>
      <c r="F15" s="9"/>
      <c r="G15" s="9"/>
      <c r="H15" s="9"/>
      <c r="I15" s="62"/>
    </row>
    <row r="16" spans="1:9" ht="15" customHeight="1" x14ac:dyDescent="0.3">
      <c r="B16" s="58" t="s">
        <v>90</v>
      </c>
      <c r="C16" s="45"/>
      <c r="D16" s="13">
        <f>D14</f>
        <v>0</v>
      </c>
      <c r="E16" s="14" t="e">
        <f>E14-E15</f>
        <v>#VALUE!</v>
      </c>
      <c r="F16" s="15" t="e">
        <f>IF(E15&lt;&gt;0,(E14-E15)/E15,"")</f>
        <v>#VALUE!</v>
      </c>
      <c r="I16" s="63"/>
    </row>
    <row r="17" spans="2:9" ht="6" customHeight="1" x14ac:dyDescent="0.3"/>
    <row r="18" spans="2:9" ht="16.05" customHeight="1" x14ac:dyDescent="0.3">
      <c r="B18" s="64" t="s">
        <v>20</v>
      </c>
      <c r="C18" s="51"/>
      <c r="D18" s="51"/>
      <c r="E18" s="51"/>
      <c r="F18" s="51"/>
      <c r="G18" s="51"/>
      <c r="H18" s="52"/>
    </row>
    <row r="19" spans="2:9" ht="15" customHeight="1" x14ac:dyDescent="0.3">
      <c r="B19" s="57" t="s">
        <v>85</v>
      </c>
      <c r="C19" s="45"/>
      <c r="D19" s="7">
        <f>Summary!B18</f>
        <v>0</v>
      </c>
      <c r="E19" s="8" t="s">
        <v>91</v>
      </c>
      <c r="F19" s="9"/>
      <c r="G19" s="9"/>
      <c r="H19" s="9"/>
      <c r="I19" s="61" t="s">
        <v>87</v>
      </c>
    </row>
    <row r="20" spans="2:9" ht="15" customHeight="1" x14ac:dyDescent="0.3">
      <c r="B20" s="60" t="s">
        <v>88</v>
      </c>
      <c r="C20" s="45"/>
      <c r="D20" s="12">
        <f>D19</f>
        <v>0</v>
      </c>
      <c r="E20" s="8" t="s">
        <v>92</v>
      </c>
      <c r="F20" s="9"/>
      <c r="G20" s="9"/>
      <c r="H20" s="9"/>
      <c r="I20" s="62"/>
    </row>
    <row r="21" spans="2:9" ht="15" customHeight="1" x14ac:dyDescent="0.3">
      <c r="B21" s="58" t="s">
        <v>90</v>
      </c>
      <c r="C21" s="45"/>
      <c r="D21" s="13">
        <f>D19</f>
        <v>0</v>
      </c>
      <c r="E21" s="14" t="e">
        <f>E19-E20</f>
        <v>#VALUE!</v>
      </c>
      <c r="F21" s="15" t="e">
        <f>IF(E20&lt;&gt;0,(E19-E20)/E20,"")</f>
        <v>#VALUE!</v>
      </c>
      <c r="I21" s="63"/>
    </row>
    <row r="22" spans="2:9" ht="6" customHeight="1" x14ac:dyDescent="0.3"/>
    <row r="23" spans="2:9" ht="16.05" customHeight="1" x14ac:dyDescent="0.3">
      <c r="B23" s="64" t="s">
        <v>22</v>
      </c>
      <c r="C23" s="51"/>
      <c r="D23" s="51"/>
      <c r="E23" s="51"/>
      <c r="F23" s="51"/>
      <c r="G23" s="51"/>
      <c r="H23" s="52"/>
    </row>
    <row r="24" spans="2:9" ht="15" customHeight="1" x14ac:dyDescent="0.3">
      <c r="B24" s="57" t="s">
        <v>85</v>
      </c>
      <c r="C24" s="45"/>
      <c r="D24" s="7">
        <f>Summary!B19</f>
        <v>0</v>
      </c>
      <c r="E24" s="8" t="s">
        <v>93</v>
      </c>
      <c r="F24" s="9"/>
      <c r="G24" s="9"/>
      <c r="H24" s="9"/>
      <c r="I24" s="61" t="s">
        <v>87</v>
      </c>
    </row>
    <row r="25" spans="2:9" ht="15" customHeight="1" x14ac:dyDescent="0.3">
      <c r="B25" s="60" t="s">
        <v>88</v>
      </c>
      <c r="C25" s="45"/>
      <c r="D25" s="12">
        <f>D24</f>
        <v>0</v>
      </c>
      <c r="E25" s="8" t="s">
        <v>93</v>
      </c>
      <c r="F25" s="9"/>
      <c r="G25" s="9"/>
      <c r="H25" s="9"/>
      <c r="I25" s="62"/>
    </row>
    <row r="26" spans="2:9" ht="15" customHeight="1" x14ac:dyDescent="0.3">
      <c r="B26" s="58" t="s">
        <v>90</v>
      </c>
      <c r="C26" s="45"/>
      <c r="D26" s="13">
        <f>D24</f>
        <v>0</v>
      </c>
      <c r="E26" s="14">
        <f>E24-E25</f>
        <v>0</v>
      </c>
      <c r="F26" s="15" t="e">
        <f>IF(E25&lt;&gt;0,(E24-E25)/E25,"")</f>
        <v>#DIV/0!</v>
      </c>
      <c r="I26" s="63"/>
    </row>
    <row r="27" spans="2:9" ht="6" customHeight="1" x14ac:dyDescent="0.3"/>
    <row r="28" spans="2:9" ht="16.05" customHeight="1" x14ac:dyDescent="0.3">
      <c r="B28" s="64" t="s">
        <v>24</v>
      </c>
      <c r="C28" s="51"/>
      <c r="D28" s="51"/>
      <c r="E28" s="51"/>
      <c r="F28" s="51"/>
      <c r="G28" s="51"/>
      <c r="H28" s="52"/>
    </row>
    <row r="29" spans="2:9" ht="15" customHeight="1" x14ac:dyDescent="0.3">
      <c r="B29" s="57" t="s">
        <v>85</v>
      </c>
      <c r="C29" s="45"/>
      <c r="D29" s="7">
        <f>Summary!B20</f>
        <v>0</v>
      </c>
      <c r="E29" s="8" t="s">
        <v>94</v>
      </c>
      <c r="F29" s="9"/>
      <c r="G29" s="9"/>
      <c r="H29" s="9"/>
      <c r="I29" s="61" t="s">
        <v>87</v>
      </c>
    </row>
    <row r="30" spans="2:9" ht="15" customHeight="1" x14ac:dyDescent="0.3">
      <c r="B30" s="60" t="s">
        <v>88</v>
      </c>
      <c r="C30" s="45"/>
      <c r="D30" s="12">
        <f>D29</f>
        <v>0</v>
      </c>
      <c r="E30" s="8" t="s">
        <v>95</v>
      </c>
      <c r="F30" s="9"/>
      <c r="G30" s="9"/>
      <c r="H30" s="9"/>
      <c r="I30" s="62"/>
    </row>
    <row r="31" spans="2:9" ht="15" customHeight="1" x14ac:dyDescent="0.3">
      <c r="B31" s="58" t="s">
        <v>90</v>
      </c>
      <c r="C31" s="45"/>
      <c r="D31" s="13">
        <f>D29</f>
        <v>0</v>
      </c>
      <c r="E31" s="14" t="e">
        <f>E29-E30</f>
        <v>#VALUE!</v>
      </c>
      <c r="F31" s="15" t="e">
        <f>IF(E30&lt;&gt;0,(E29-E30)/E30,"")</f>
        <v>#VALUE!</v>
      </c>
      <c r="I31" s="63"/>
    </row>
    <row r="32" spans="2:9" ht="7.95" customHeight="1" x14ac:dyDescent="0.3"/>
    <row r="33" spans="2:8" ht="16.05" customHeight="1" x14ac:dyDescent="0.3">
      <c r="B33" s="64" t="s">
        <v>96</v>
      </c>
      <c r="C33" s="51"/>
      <c r="D33" s="51"/>
      <c r="E33" s="51"/>
      <c r="F33" s="51"/>
      <c r="G33" s="51"/>
      <c r="H33" s="52"/>
    </row>
    <row r="34" spans="2:8" ht="15" customHeight="1" x14ac:dyDescent="0.3">
      <c r="B34" s="57" t="s">
        <v>97</v>
      </c>
      <c r="C34" s="44"/>
      <c r="D34" s="45"/>
      <c r="E34" s="43" t="s">
        <v>98</v>
      </c>
      <c r="F34" s="44"/>
      <c r="G34" s="45"/>
      <c r="H34" s="10" t="s">
        <v>99</v>
      </c>
    </row>
    <row r="35" spans="2:8" ht="15" customHeight="1" x14ac:dyDescent="0.3">
      <c r="B35" s="60" t="s">
        <v>88</v>
      </c>
      <c r="C35" s="44"/>
      <c r="D35" s="45"/>
      <c r="E35" s="43" t="s">
        <v>100</v>
      </c>
      <c r="F35" s="44"/>
      <c r="G35" s="45"/>
      <c r="H35" s="10" t="s">
        <v>99</v>
      </c>
    </row>
    <row r="36" spans="2:8" ht="15" customHeight="1" x14ac:dyDescent="0.3">
      <c r="B36" s="57" t="s">
        <v>101</v>
      </c>
      <c r="C36" s="44"/>
      <c r="D36" s="45"/>
      <c r="E36" s="43" t="s">
        <v>102</v>
      </c>
      <c r="F36" s="44"/>
      <c r="G36" s="45"/>
      <c r="H36" s="10"/>
    </row>
    <row r="37" spans="2:8" ht="15" customHeight="1" x14ac:dyDescent="0.3">
      <c r="B37" s="60" t="s">
        <v>103</v>
      </c>
      <c r="C37" s="44"/>
      <c r="D37" s="45"/>
      <c r="E37" s="43" t="s">
        <v>104</v>
      </c>
      <c r="F37" s="44"/>
      <c r="G37" s="45"/>
      <c r="H37" s="10" t="s">
        <v>99</v>
      </c>
    </row>
    <row r="38" spans="2:8" ht="15" customHeight="1" x14ac:dyDescent="0.3">
      <c r="B38" s="57" t="s">
        <v>105</v>
      </c>
      <c r="C38" s="44"/>
      <c r="D38" s="45"/>
      <c r="E38" s="43" t="s">
        <v>106</v>
      </c>
      <c r="F38" s="44"/>
      <c r="G38" s="45"/>
      <c r="H38" s="10" t="s">
        <v>99</v>
      </c>
    </row>
    <row r="39" spans="2:8" ht="15" customHeight="1" x14ac:dyDescent="0.3">
      <c r="B39" s="60" t="s">
        <v>107</v>
      </c>
      <c r="C39" s="44"/>
      <c r="D39" s="45"/>
      <c r="E39" s="43" t="s">
        <v>108</v>
      </c>
      <c r="F39" s="44"/>
      <c r="G39" s="45"/>
      <c r="H39" s="10" t="s">
        <v>99</v>
      </c>
    </row>
    <row r="40" spans="2:8" ht="15" customHeight="1" x14ac:dyDescent="0.3">
      <c r="B40" s="57" t="s">
        <v>109</v>
      </c>
      <c r="C40" s="44"/>
      <c r="D40" s="45"/>
      <c r="E40" s="43" t="s">
        <v>110</v>
      </c>
      <c r="F40" s="44"/>
      <c r="G40" s="45"/>
      <c r="H40" s="10" t="s">
        <v>87</v>
      </c>
    </row>
    <row r="41" spans="2:8" ht="15" customHeight="1" x14ac:dyDescent="0.3">
      <c r="B41" s="60" t="s">
        <v>111</v>
      </c>
      <c r="C41" s="44"/>
      <c r="D41" s="45"/>
      <c r="E41" s="43" t="s">
        <v>112</v>
      </c>
      <c r="F41" s="44"/>
      <c r="G41" s="45"/>
      <c r="H41" s="10" t="s">
        <v>113</v>
      </c>
    </row>
    <row r="42" spans="2:8" ht="15" customHeight="1" x14ac:dyDescent="0.3">
      <c r="B42" s="57" t="s">
        <v>114</v>
      </c>
      <c r="C42" s="44"/>
      <c r="D42" s="45"/>
      <c r="E42" s="43" t="s">
        <v>115</v>
      </c>
      <c r="F42" s="44"/>
      <c r="G42" s="45"/>
      <c r="H42" s="10" t="s">
        <v>99</v>
      </c>
    </row>
    <row r="43" spans="2:8" ht="15" customHeight="1" x14ac:dyDescent="0.3">
      <c r="B43" s="60" t="s">
        <v>116</v>
      </c>
      <c r="C43" s="44"/>
      <c r="D43" s="45"/>
      <c r="E43" s="43" t="s">
        <v>117</v>
      </c>
      <c r="F43" s="44"/>
      <c r="G43" s="45"/>
      <c r="H43" s="10" t="s">
        <v>99</v>
      </c>
    </row>
    <row r="46" spans="2:8" ht="40.049999999999997" customHeight="1" x14ac:dyDescent="0.3">
      <c r="B46" s="67" t="s">
        <v>118</v>
      </c>
      <c r="C46" s="68"/>
      <c r="D46" s="68"/>
      <c r="F46" s="67" t="s">
        <v>119</v>
      </c>
      <c r="G46" s="68"/>
      <c r="H46" s="68"/>
    </row>
  </sheetData>
  <mergeCells count="62">
    <mergeCell ref="B39:D39"/>
    <mergeCell ref="G7:I7"/>
    <mergeCell ref="I24:I26"/>
    <mergeCell ref="A8:B8"/>
    <mergeCell ref="C6:E6"/>
    <mergeCell ref="D3:H3"/>
    <mergeCell ref="B23:H23"/>
    <mergeCell ref="B24:C24"/>
    <mergeCell ref="B15:C15"/>
    <mergeCell ref="B13:H13"/>
    <mergeCell ref="B20:C20"/>
    <mergeCell ref="A1:B4"/>
    <mergeCell ref="G8:I8"/>
    <mergeCell ref="A9:B9"/>
    <mergeCell ref="A7:B7"/>
    <mergeCell ref="D2:H2"/>
    <mergeCell ref="C8:E8"/>
    <mergeCell ref="B40:D40"/>
    <mergeCell ref="B14:C14"/>
    <mergeCell ref="C7:E7"/>
    <mergeCell ref="B36:D36"/>
    <mergeCell ref="B29:C29"/>
    <mergeCell ref="B18:H18"/>
    <mergeCell ref="E38:G38"/>
    <mergeCell ref="B19:C19"/>
    <mergeCell ref="E37:G37"/>
    <mergeCell ref="B35:D35"/>
    <mergeCell ref="G9:I9"/>
    <mergeCell ref="B11:H11"/>
    <mergeCell ref="D4:H4"/>
    <mergeCell ref="B12:C12"/>
    <mergeCell ref="B21:C21"/>
    <mergeCell ref="F46:H46"/>
    <mergeCell ref="B37:D37"/>
    <mergeCell ref="E36:G36"/>
    <mergeCell ref="E41:G41"/>
    <mergeCell ref="B43:D43"/>
    <mergeCell ref="B41:D41"/>
    <mergeCell ref="E43:G43"/>
    <mergeCell ref="B28:H28"/>
    <mergeCell ref="B30:C30"/>
    <mergeCell ref="E42:G42"/>
    <mergeCell ref="B46:D46"/>
    <mergeCell ref="E39:G39"/>
    <mergeCell ref="E35:G35"/>
    <mergeCell ref="B26:C26"/>
    <mergeCell ref="B42:D42"/>
    <mergeCell ref="B16:C16"/>
    <mergeCell ref="G6:I6"/>
    <mergeCell ref="B25:C25"/>
    <mergeCell ref="D1:H1"/>
    <mergeCell ref="C9:E9"/>
    <mergeCell ref="E34:G34"/>
    <mergeCell ref="E40:G40"/>
    <mergeCell ref="I14:I16"/>
    <mergeCell ref="B31:C31"/>
    <mergeCell ref="I29:I31"/>
    <mergeCell ref="B33:H33"/>
    <mergeCell ref="I19:I21"/>
    <mergeCell ref="A6:B6"/>
    <mergeCell ref="B38:D38"/>
    <mergeCell ref="B34:D34"/>
  </mergeCells>
  <printOptions horizontalCentered="1"/>
  <pageMargins left="0.4" right="0.4" top="0.75" bottom="0.6" header="0.3" footer="0.3"/>
  <pageSetup paperSize="9" fitToHeight="0" orientation="portrait"/>
  <headerFooter>
    <oddHeader>&amp;R&amp;8 &amp;8&amp;D  &amp;T</oddHeader>
    <oddFooter>&amp;L&amp;8 &amp;8NAABSA Marine Surveyors  |  surveyors@naabsa.com  |  naabsa.com&amp;R&amp;8 &amp;8Quantities Summary  –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0"/>
  <sheetViews>
    <sheetView showGridLines="0" workbookViewId="0">
      <selection sqref="A1:B4"/>
    </sheetView>
  </sheetViews>
  <sheetFormatPr defaultRowHeight="14.4" x14ac:dyDescent="0.3"/>
  <cols>
    <col min="1" max="1" width="2" customWidth="1"/>
    <col min="2" max="2" width="14" customWidth="1"/>
    <col min="3" max="4" width="7" customWidth="1"/>
    <col min="5" max="5" width="9" customWidth="1"/>
    <col min="6" max="8" width="8" customWidth="1"/>
    <col min="9" max="14" width="9" customWidth="1"/>
    <col min="15" max="15" width="5" customWidth="1"/>
  </cols>
  <sheetData>
    <row r="1" spans="1:15" ht="16.8" x14ac:dyDescent="0.3">
      <c r="A1" s="55" t="s">
        <v>0</v>
      </c>
      <c r="B1" s="56"/>
      <c r="E1" s="53" t="s">
        <v>1</v>
      </c>
      <c r="F1" s="47"/>
      <c r="G1" s="47"/>
      <c r="H1" s="47"/>
      <c r="I1" s="47"/>
      <c r="J1" s="47"/>
      <c r="K1" s="47"/>
    </row>
    <row r="2" spans="1:15" x14ac:dyDescent="0.3">
      <c r="A2" s="56"/>
      <c r="B2" s="56"/>
      <c r="E2" s="46" t="s">
        <v>2</v>
      </c>
      <c r="F2" s="47"/>
      <c r="G2" s="47"/>
      <c r="H2" s="47"/>
      <c r="I2" s="47"/>
      <c r="J2" s="47"/>
      <c r="K2" s="47"/>
    </row>
    <row r="3" spans="1:15" x14ac:dyDescent="0.3">
      <c r="A3" s="56"/>
      <c r="B3" s="56"/>
      <c r="E3" s="46" t="s">
        <v>3</v>
      </c>
      <c r="F3" s="47"/>
      <c r="G3" s="47"/>
      <c r="H3" s="47"/>
      <c r="I3" s="47"/>
      <c r="J3" s="47"/>
      <c r="K3" s="47"/>
    </row>
    <row r="4" spans="1:15" x14ac:dyDescent="0.3">
      <c r="A4" s="56"/>
      <c r="B4" s="56"/>
      <c r="E4" s="46"/>
      <c r="F4" s="47"/>
      <c r="G4" s="47"/>
      <c r="H4" s="47"/>
      <c r="I4" s="47"/>
      <c r="J4" s="47"/>
      <c r="K4" s="47"/>
    </row>
    <row r="5" spans="1:15" ht="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65" t="s">
        <v>70</v>
      </c>
      <c r="B6" s="45"/>
      <c r="C6" s="59">
        <f>Summary!B12</f>
        <v>0</v>
      </c>
      <c r="D6" s="44"/>
      <c r="E6" s="45"/>
      <c r="F6" s="3" t="s">
        <v>71</v>
      </c>
      <c r="G6" s="59">
        <f>Summary!B28</f>
        <v>0</v>
      </c>
      <c r="H6" s="44"/>
      <c r="I6" s="45"/>
    </row>
    <row r="7" spans="1:15" x14ac:dyDescent="0.3">
      <c r="A7" s="65" t="s">
        <v>72</v>
      </c>
      <c r="B7" s="45"/>
      <c r="C7" s="59">
        <f>Summary!B13</f>
        <v>0</v>
      </c>
      <c r="D7" s="44"/>
      <c r="E7" s="45"/>
      <c r="F7" s="3" t="s">
        <v>73</v>
      </c>
      <c r="G7" s="59">
        <f>Summary!B29</f>
        <v>0</v>
      </c>
      <c r="H7" s="44"/>
      <c r="I7" s="45"/>
    </row>
    <row r="8" spans="1:15" x14ac:dyDescent="0.3">
      <c r="A8" s="65" t="s">
        <v>74</v>
      </c>
      <c r="B8" s="45"/>
      <c r="C8" s="59">
        <f>Summary!B21</f>
        <v>0</v>
      </c>
      <c r="D8" s="44"/>
      <c r="E8" s="45"/>
      <c r="F8" s="3" t="s">
        <v>75</v>
      </c>
      <c r="G8" s="59">
        <f>Summary!B20</f>
        <v>0</v>
      </c>
      <c r="H8" s="44"/>
      <c r="I8" s="45"/>
    </row>
    <row r="9" spans="1:15" x14ac:dyDescent="0.3">
      <c r="A9" s="65" t="s">
        <v>76</v>
      </c>
      <c r="B9" s="45"/>
      <c r="C9" s="59">
        <f>Summary!B11</f>
        <v>0</v>
      </c>
      <c r="D9" s="44"/>
      <c r="E9" s="45"/>
      <c r="F9" s="3" t="s">
        <v>77</v>
      </c>
      <c r="G9" s="59">
        <f>Summary!B22</f>
        <v>0</v>
      </c>
      <c r="H9" s="44"/>
      <c r="I9" s="45"/>
    </row>
    <row r="11" spans="1:15" ht="22.05" customHeight="1" x14ac:dyDescent="0.3">
      <c r="B11" s="49" t="s">
        <v>120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15" ht="18" customHeight="1" x14ac:dyDescent="0.3">
      <c r="B12" s="73" t="s">
        <v>121</v>
      </c>
      <c r="C12" s="47"/>
      <c r="D12" s="47"/>
      <c r="E12" s="47"/>
      <c r="F12" s="47"/>
      <c r="G12" s="47"/>
      <c r="I12" s="73" t="s">
        <v>122</v>
      </c>
      <c r="J12" s="47"/>
      <c r="K12" s="47"/>
      <c r="L12" s="47"/>
      <c r="M12" s="47"/>
      <c r="N12" s="47"/>
    </row>
    <row r="13" spans="1:15" ht="16.05" customHeight="1" x14ac:dyDescent="0.3">
      <c r="B13" s="16" t="s">
        <v>123</v>
      </c>
      <c r="C13" s="2" t="s">
        <v>124</v>
      </c>
      <c r="D13" s="16" t="s">
        <v>125</v>
      </c>
      <c r="E13" s="2" t="s">
        <v>124</v>
      </c>
      <c r="F13" s="16" t="s">
        <v>126</v>
      </c>
      <c r="G13" s="2" t="s">
        <v>124</v>
      </c>
    </row>
    <row r="14" spans="1:15" ht="30" customHeight="1" x14ac:dyDescent="0.3">
      <c r="B14" s="17" t="s">
        <v>127</v>
      </c>
      <c r="C14" s="17" t="s">
        <v>128</v>
      </c>
      <c r="D14" s="17" t="s">
        <v>129</v>
      </c>
      <c r="E14" s="17" t="s">
        <v>130</v>
      </c>
      <c r="F14" s="17" t="s">
        <v>131</v>
      </c>
      <c r="G14" s="17" t="s">
        <v>132</v>
      </c>
      <c r="H14" s="17" t="s">
        <v>133</v>
      </c>
      <c r="I14" s="17" t="s">
        <v>134</v>
      </c>
      <c r="J14" s="17" t="s">
        <v>135</v>
      </c>
      <c r="K14" s="17" t="s">
        <v>136</v>
      </c>
      <c r="L14" s="17" t="s">
        <v>137</v>
      </c>
      <c r="M14" s="17" t="s">
        <v>138</v>
      </c>
      <c r="N14" s="17"/>
    </row>
    <row r="15" spans="1:15" ht="13.95" customHeight="1" x14ac:dyDescent="0.3">
      <c r="B15" s="18" t="s">
        <v>139</v>
      </c>
      <c r="C15" s="18" t="s">
        <v>19</v>
      </c>
      <c r="D15" s="18" t="s">
        <v>140</v>
      </c>
      <c r="E15" s="18" t="s">
        <v>141</v>
      </c>
      <c r="F15" s="18" t="s">
        <v>142</v>
      </c>
      <c r="G15" s="18" t="s">
        <v>143</v>
      </c>
      <c r="H15" s="18" t="s">
        <v>142</v>
      </c>
      <c r="I15" s="18" t="s">
        <v>144</v>
      </c>
      <c r="J15" s="18" t="s">
        <v>145</v>
      </c>
      <c r="K15" s="18" t="s">
        <v>146</v>
      </c>
      <c r="L15" s="18" t="s">
        <v>147</v>
      </c>
      <c r="M15" s="18" t="s">
        <v>148</v>
      </c>
    </row>
    <row r="16" spans="1:15" ht="13.95" customHeight="1" x14ac:dyDescent="0.3">
      <c r="B16" s="19" t="s">
        <v>149</v>
      </c>
      <c r="C16" s="19" t="s">
        <v>19</v>
      </c>
      <c r="D16" s="19" t="s">
        <v>150</v>
      </c>
      <c r="E16" s="19" t="s">
        <v>141</v>
      </c>
      <c r="F16" s="19" t="s">
        <v>151</v>
      </c>
      <c r="G16" s="19" t="s">
        <v>143</v>
      </c>
      <c r="H16" s="19" t="s">
        <v>151</v>
      </c>
      <c r="I16" s="19" t="s">
        <v>144</v>
      </c>
      <c r="J16" s="19" t="s">
        <v>145</v>
      </c>
      <c r="K16" s="19" t="s">
        <v>152</v>
      </c>
      <c r="L16" s="19" t="s">
        <v>153</v>
      </c>
      <c r="M16" s="19" t="s">
        <v>154</v>
      </c>
    </row>
    <row r="17" spans="2:13" ht="13.95" customHeight="1" x14ac:dyDescent="0.3">
      <c r="B17" s="18" t="s">
        <v>155</v>
      </c>
      <c r="C17" s="18" t="s">
        <v>19</v>
      </c>
      <c r="D17" s="18" t="s">
        <v>156</v>
      </c>
      <c r="E17" s="18" t="s">
        <v>157</v>
      </c>
      <c r="F17" s="18" t="s">
        <v>158</v>
      </c>
      <c r="G17" s="18" t="s">
        <v>143</v>
      </c>
      <c r="H17" s="18" t="s">
        <v>158</v>
      </c>
      <c r="I17" s="18" t="s">
        <v>159</v>
      </c>
      <c r="J17" s="18" t="s">
        <v>145</v>
      </c>
      <c r="K17" s="18" t="s">
        <v>160</v>
      </c>
      <c r="L17" s="18" t="s">
        <v>161</v>
      </c>
      <c r="M17" s="18" t="s">
        <v>162</v>
      </c>
    </row>
    <row r="18" spans="2:13" ht="13.95" customHeight="1" x14ac:dyDescent="0.3">
      <c r="B18" s="19" t="s">
        <v>163</v>
      </c>
      <c r="C18" s="19" t="s">
        <v>19</v>
      </c>
      <c r="D18" s="19" t="s">
        <v>164</v>
      </c>
      <c r="E18" s="19" t="s">
        <v>165</v>
      </c>
      <c r="F18" s="19" t="s">
        <v>166</v>
      </c>
      <c r="G18" s="19" t="s">
        <v>143</v>
      </c>
      <c r="H18" s="19" t="s">
        <v>166</v>
      </c>
      <c r="I18" s="19" t="s">
        <v>167</v>
      </c>
      <c r="J18" s="19" t="s">
        <v>145</v>
      </c>
      <c r="K18" s="19" t="s">
        <v>168</v>
      </c>
      <c r="L18" s="19" t="s">
        <v>169</v>
      </c>
      <c r="M18" s="19" t="s">
        <v>170</v>
      </c>
    </row>
    <row r="19" spans="2:13" ht="13.95" customHeight="1" x14ac:dyDescent="0.3">
      <c r="B19" s="18" t="s">
        <v>171</v>
      </c>
      <c r="C19" s="18" t="s">
        <v>19</v>
      </c>
      <c r="D19" s="18" t="s">
        <v>172</v>
      </c>
      <c r="E19" s="18" t="s">
        <v>173</v>
      </c>
      <c r="F19" s="18" t="s">
        <v>174</v>
      </c>
      <c r="G19" s="18" t="s">
        <v>143</v>
      </c>
      <c r="H19" s="18" t="s">
        <v>174</v>
      </c>
      <c r="I19" s="18" t="s">
        <v>175</v>
      </c>
      <c r="J19" s="18" t="s">
        <v>145</v>
      </c>
      <c r="K19" s="18" t="s">
        <v>176</v>
      </c>
      <c r="L19" s="18" t="s">
        <v>177</v>
      </c>
      <c r="M19" s="18" t="s">
        <v>178</v>
      </c>
    </row>
    <row r="20" spans="2:13" ht="13.95" customHeight="1" x14ac:dyDescent="0.3">
      <c r="B20" s="19" t="s">
        <v>179</v>
      </c>
      <c r="C20" s="19" t="s">
        <v>19</v>
      </c>
      <c r="D20" s="19" t="s">
        <v>180</v>
      </c>
      <c r="E20" s="19" t="s">
        <v>181</v>
      </c>
      <c r="F20" s="19" t="s">
        <v>182</v>
      </c>
      <c r="G20" s="19" t="s">
        <v>143</v>
      </c>
      <c r="H20" s="19" t="s">
        <v>182</v>
      </c>
      <c r="I20" s="19" t="s">
        <v>183</v>
      </c>
      <c r="J20" s="19" t="s">
        <v>145</v>
      </c>
      <c r="K20" s="19" t="s">
        <v>184</v>
      </c>
      <c r="L20" s="19" t="s">
        <v>185</v>
      </c>
      <c r="M20" s="19" t="s">
        <v>186</v>
      </c>
    </row>
    <row r="21" spans="2:13" ht="13.95" customHeight="1" x14ac:dyDescent="0.3">
      <c r="B21" s="18" t="s">
        <v>187</v>
      </c>
      <c r="C21" s="18" t="s">
        <v>19</v>
      </c>
      <c r="D21" s="18" t="s">
        <v>188</v>
      </c>
      <c r="E21" s="18" t="s">
        <v>189</v>
      </c>
      <c r="F21" s="18" t="s">
        <v>190</v>
      </c>
      <c r="G21" s="18" t="s">
        <v>143</v>
      </c>
      <c r="H21" s="18" t="s">
        <v>190</v>
      </c>
      <c r="I21" s="18" t="s">
        <v>191</v>
      </c>
      <c r="J21" s="18" t="s">
        <v>145</v>
      </c>
      <c r="K21" s="18" t="s">
        <v>192</v>
      </c>
      <c r="L21" s="18" t="s">
        <v>193</v>
      </c>
      <c r="M21" s="18" t="s">
        <v>194</v>
      </c>
    </row>
    <row r="22" spans="2:13" ht="13.95" customHeight="1" x14ac:dyDescent="0.3">
      <c r="B22" s="19" t="s">
        <v>195</v>
      </c>
      <c r="C22" s="19" t="s">
        <v>19</v>
      </c>
      <c r="D22" s="19" t="s">
        <v>196</v>
      </c>
      <c r="E22" s="19" t="s">
        <v>165</v>
      </c>
      <c r="F22" s="19" t="s">
        <v>197</v>
      </c>
      <c r="G22" s="19" t="s">
        <v>143</v>
      </c>
      <c r="H22" s="19" t="s">
        <v>197</v>
      </c>
      <c r="I22" s="19" t="s">
        <v>167</v>
      </c>
      <c r="J22" s="19" t="s">
        <v>145</v>
      </c>
      <c r="K22" s="19" t="s">
        <v>198</v>
      </c>
      <c r="L22" s="19" t="s">
        <v>199</v>
      </c>
      <c r="M22" s="19" t="s">
        <v>200</v>
      </c>
    </row>
    <row r="23" spans="2:13" ht="13.95" customHeight="1" x14ac:dyDescent="0.3">
      <c r="B23" s="18" t="s">
        <v>201</v>
      </c>
      <c r="C23" s="18" t="s">
        <v>202</v>
      </c>
      <c r="D23" s="18" t="s">
        <v>203</v>
      </c>
      <c r="E23" s="18" t="s">
        <v>141</v>
      </c>
      <c r="F23" s="18" t="s">
        <v>204</v>
      </c>
      <c r="G23" s="18" t="s">
        <v>143</v>
      </c>
      <c r="H23" s="18" t="s">
        <v>204</v>
      </c>
      <c r="I23" s="18" t="s">
        <v>205</v>
      </c>
      <c r="J23" s="18" t="s">
        <v>206</v>
      </c>
      <c r="K23" s="18" t="s">
        <v>207</v>
      </c>
      <c r="L23" s="18" t="s">
        <v>208</v>
      </c>
      <c r="M23" s="18" t="s">
        <v>209</v>
      </c>
    </row>
    <row r="24" spans="2:13" ht="13.95" customHeight="1" x14ac:dyDescent="0.3">
      <c r="B24" s="19" t="s">
        <v>210</v>
      </c>
      <c r="C24" s="19" t="s">
        <v>202</v>
      </c>
      <c r="D24" s="19" t="s">
        <v>211</v>
      </c>
      <c r="E24" s="19" t="s">
        <v>212</v>
      </c>
      <c r="F24" s="19" t="s">
        <v>213</v>
      </c>
      <c r="G24" s="19" t="s">
        <v>143</v>
      </c>
      <c r="H24" s="19" t="s">
        <v>213</v>
      </c>
      <c r="I24" s="19" t="s">
        <v>214</v>
      </c>
      <c r="J24" s="19" t="s">
        <v>206</v>
      </c>
      <c r="K24" s="19" t="s">
        <v>215</v>
      </c>
      <c r="L24" s="19" t="s">
        <v>216</v>
      </c>
      <c r="M24" s="19" t="s">
        <v>217</v>
      </c>
    </row>
    <row r="25" spans="2:13" ht="16.05" customHeight="1" x14ac:dyDescent="0.3">
      <c r="B25" s="20" t="s">
        <v>218</v>
      </c>
      <c r="C25" s="21"/>
      <c r="D25" s="21"/>
      <c r="E25" s="21"/>
      <c r="F25" s="21"/>
      <c r="G25" s="21"/>
      <c r="H25" s="22" t="s">
        <v>219</v>
      </c>
      <c r="I25" s="21"/>
      <c r="J25" s="21"/>
      <c r="K25" s="22" t="s">
        <v>220</v>
      </c>
      <c r="L25" s="22" t="s">
        <v>221</v>
      </c>
      <c r="M25" s="22" t="s">
        <v>86</v>
      </c>
    </row>
    <row r="26" spans="2:13" ht="16.05" customHeight="1" x14ac:dyDescent="0.3">
      <c r="B26" s="20" t="s">
        <v>222</v>
      </c>
      <c r="C26" s="21"/>
      <c r="D26" s="21"/>
      <c r="E26" s="21"/>
      <c r="F26" s="21"/>
      <c r="G26" s="21"/>
      <c r="H26" s="22" t="s">
        <v>223</v>
      </c>
      <c r="I26" s="21"/>
      <c r="J26" s="21"/>
      <c r="K26" s="22" t="s">
        <v>224</v>
      </c>
      <c r="L26" s="22" t="s">
        <v>225</v>
      </c>
      <c r="M26" s="22" t="s">
        <v>226</v>
      </c>
    </row>
    <row r="27" spans="2:13" ht="16.05" customHeight="1" x14ac:dyDescent="0.3">
      <c r="B27" s="20" t="s">
        <v>227</v>
      </c>
      <c r="C27" s="21"/>
      <c r="D27" s="21"/>
      <c r="E27" s="21"/>
      <c r="F27" s="21"/>
      <c r="G27" s="21"/>
      <c r="H27" s="22" t="s">
        <v>93</v>
      </c>
      <c r="I27" s="21"/>
      <c r="J27" s="21"/>
      <c r="K27" s="22" t="s">
        <v>93</v>
      </c>
      <c r="L27" s="22" t="s">
        <v>93</v>
      </c>
      <c r="M27" s="22" t="s">
        <v>93</v>
      </c>
    </row>
    <row r="28" spans="2:13" ht="16.05" customHeight="1" x14ac:dyDescent="0.3">
      <c r="B28" s="20" t="s">
        <v>228</v>
      </c>
      <c r="C28" s="21"/>
      <c r="D28" s="21"/>
      <c r="E28" s="21"/>
      <c r="F28" s="21"/>
      <c r="G28" s="21"/>
      <c r="H28" s="22" t="s">
        <v>229</v>
      </c>
      <c r="I28" s="21"/>
      <c r="J28" s="21"/>
      <c r="K28" s="22" t="s">
        <v>230</v>
      </c>
      <c r="L28" s="22" t="s">
        <v>231</v>
      </c>
      <c r="M28" s="22" t="s">
        <v>232</v>
      </c>
    </row>
    <row r="30" spans="2:13" ht="40.049999999999997" customHeight="1" x14ac:dyDescent="0.3">
      <c r="B30" s="67" t="s">
        <v>118</v>
      </c>
      <c r="C30" s="68"/>
      <c r="D30" s="68"/>
      <c r="E30" s="68"/>
      <c r="I30" s="67" t="s">
        <v>119</v>
      </c>
      <c r="J30" s="68"/>
      <c r="K30" s="68"/>
      <c r="L30" s="68"/>
      <c r="M30" s="68"/>
    </row>
  </sheetData>
  <mergeCells count="22">
    <mergeCell ref="E1:K1"/>
    <mergeCell ref="C6:E6"/>
    <mergeCell ref="A1:B4"/>
    <mergeCell ref="G8:I8"/>
    <mergeCell ref="B12:G12"/>
    <mergeCell ref="A9:B9"/>
    <mergeCell ref="E2:K2"/>
    <mergeCell ref="G7:I7"/>
    <mergeCell ref="E3:K3"/>
    <mergeCell ref="C8:E8"/>
    <mergeCell ref="C7:E7"/>
    <mergeCell ref="E4:K4"/>
    <mergeCell ref="G9:I9"/>
    <mergeCell ref="I30:M30"/>
    <mergeCell ref="G6:I6"/>
    <mergeCell ref="B30:E30"/>
    <mergeCell ref="C9:E9"/>
    <mergeCell ref="I12:N12"/>
    <mergeCell ref="A6:B6"/>
    <mergeCell ref="A7:B7"/>
    <mergeCell ref="B11:N11"/>
    <mergeCell ref="A8:B8"/>
  </mergeCells>
  <printOptions horizontalCentered="1"/>
  <pageMargins left="0.4" right="0.4" top="0.75" bottom="0.6" header="0.3" footer="0.3"/>
  <pageSetup paperSize="9" fitToHeight="0" orientation="portrait"/>
  <headerFooter>
    <oddHeader>&amp;R&amp;8 &amp;8&amp;D  &amp;T</oddHeader>
    <oddFooter>&amp;L&amp;8 &amp;8NAABSA Marine Surveyors  |  surveyors@naabsa.com  |  naabsa.com&amp;R&amp;8 &amp;8Vessel Ullage  –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6"/>
  <sheetViews>
    <sheetView showGridLines="0" workbookViewId="0"/>
  </sheetViews>
  <sheetFormatPr defaultRowHeight="14.4" x14ac:dyDescent="0.3"/>
  <cols>
    <col min="1" max="1" width="2" customWidth="1"/>
    <col min="2" max="2" width="22" customWidth="1"/>
    <col min="3" max="3" width="11" customWidth="1"/>
    <col min="4" max="5" width="9" customWidth="1"/>
    <col min="6" max="6" width="3" customWidth="1"/>
    <col min="7" max="7" width="11" customWidth="1"/>
    <col min="8" max="9" width="9" customWidth="1"/>
    <col min="10" max="10" width="3" customWidth="1"/>
    <col min="11" max="11" width="2" customWidth="1"/>
  </cols>
  <sheetData>
    <row r="1" spans="1:11" ht="16.8" x14ac:dyDescent="0.3">
      <c r="A1" s="55" t="s">
        <v>0</v>
      </c>
      <c r="B1" s="56"/>
      <c r="D1" s="53" t="s">
        <v>1</v>
      </c>
      <c r="E1" s="47"/>
      <c r="F1" s="47"/>
      <c r="G1" s="47"/>
      <c r="H1" s="47"/>
      <c r="I1" s="47"/>
    </row>
    <row r="2" spans="1:11" x14ac:dyDescent="0.3">
      <c r="A2" s="56"/>
      <c r="B2" s="56"/>
      <c r="D2" s="46" t="s">
        <v>2</v>
      </c>
      <c r="E2" s="47"/>
      <c r="F2" s="47"/>
      <c r="G2" s="47"/>
      <c r="H2" s="47"/>
      <c r="I2" s="47"/>
    </row>
    <row r="3" spans="1:11" x14ac:dyDescent="0.3">
      <c r="A3" s="56"/>
      <c r="B3" s="56"/>
      <c r="D3" s="46" t="s">
        <v>3</v>
      </c>
      <c r="E3" s="47"/>
      <c r="F3" s="47"/>
      <c r="G3" s="47"/>
      <c r="H3" s="47"/>
      <c r="I3" s="47"/>
    </row>
    <row r="4" spans="1:11" x14ac:dyDescent="0.3">
      <c r="A4" s="56"/>
      <c r="B4" s="56"/>
      <c r="D4" s="46"/>
      <c r="E4" s="47"/>
      <c r="F4" s="47"/>
      <c r="G4" s="47"/>
      <c r="H4" s="47"/>
      <c r="I4" s="47"/>
    </row>
    <row r="5" spans="1:11" ht="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65" t="s">
        <v>70</v>
      </c>
      <c r="B6" s="45"/>
      <c r="C6" s="59">
        <f>Summary!B12</f>
        <v>0</v>
      </c>
      <c r="D6" s="44"/>
      <c r="E6" s="45"/>
      <c r="F6" s="3" t="s">
        <v>71</v>
      </c>
      <c r="G6" s="59">
        <f>Summary!B28</f>
        <v>0</v>
      </c>
      <c r="H6" s="44"/>
      <c r="I6" s="45"/>
    </row>
    <row r="7" spans="1:11" x14ac:dyDescent="0.3">
      <c r="A7" s="65" t="s">
        <v>72</v>
      </c>
      <c r="B7" s="45"/>
      <c r="C7" s="59">
        <f>Summary!B13</f>
        <v>0</v>
      </c>
      <c r="D7" s="44"/>
      <c r="E7" s="45"/>
      <c r="F7" s="3" t="s">
        <v>73</v>
      </c>
      <c r="G7" s="59">
        <f>Summary!B29</f>
        <v>0</v>
      </c>
      <c r="H7" s="44"/>
      <c r="I7" s="45"/>
    </row>
    <row r="8" spans="1:11" x14ac:dyDescent="0.3">
      <c r="A8" s="65" t="s">
        <v>74</v>
      </c>
      <c r="B8" s="45"/>
      <c r="C8" s="59">
        <f>Summary!B21</f>
        <v>0</v>
      </c>
      <c r="D8" s="44"/>
      <c r="E8" s="45"/>
      <c r="F8" s="3" t="s">
        <v>75</v>
      </c>
      <c r="G8" s="59">
        <f>Summary!B20</f>
        <v>0</v>
      </c>
      <c r="H8" s="44"/>
      <c r="I8" s="45"/>
    </row>
    <row r="9" spans="1:11" x14ac:dyDescent="0.3">
      <c r="A9" s="65" t="s">
        <v>76</v>
      </c>
      <c r="B9" s="45"/>
      <c r="C9" s="59">
        <f>Summary!B11</f>
        <v>0</v>
      </c>
      <c r="D9" s="44"/>
      <c r="E9" s="45"/>
      <c r="F9" s="3" t="s">
        <v>77</v>
      </c>
      <c r="G9" s="59">
        <f>Summary!B22</f>
        <v>0</v>
      </c>
      <c r="H9" s="44"/>
      <c r="I9" s="45"/>
    </row>
    <row r="11" spans="1:11" ht="22.05" customHeight="1" x14ac:dyDescent="0.3">
      <c r="B11" s="49" t="s">
        <v>233</v>
      </c>
      <c r="C11" s="47"/>
      <c r="D11" s="47"/>
      <c r="E11" s="47"/>
      <c r="F11" s="47"/>
      <c r="G11" s="47"/>
      <c r="H11" s="47"/>
      <c r="I11" s="47"/>
      <c r="J11" s="47"/>
    </row>
    <row r="12" spans="1:11" ht="16.05" customHeight="1" x14ac:dyDescent="0.3">
      <c r="B12" s="64" t="s">
        <v>234</v>
      </c>
      <c r="C12" s="51"/>
      <c r="D12" s="51"/>
      <c r="E12" s="51"/>
      <c r="F12" s="51"/>
      <c r="G12" s="51"/>
      <c r="H12" s="51"/>
      <c r="I12" s="51"/>
      <c r="J12" s="52"/>
    </row>
    <row r="13" spans="1:11" ht="13.95" customHeight="1" x14ac:dyDescent="0.3">
      <c r="B13" s="23"/>
      <c r="C13" s="74" t="s">
        <v>121</v>
      </c>
      <c r="D13" s="45"/>
      <c r="E13" s="23"/>
      <c r="F13" s="23"/>
      <c r="G13" s="74" t="s">
        <v>122</v>
      </c>
      <c r="H13" s="45"/>
      <c r="I13" s="23"/>
      <c r="J13" s="23"/>
    </row>
    <row r="14" spans="1:11" ht="18" customHeight="1" x14ac:dyDescent="0.3">
      <c r="B14" s="4" t="s">
        <v>127</v>
      </c>
      <c r="C14" s="4" t="s">
        <v>235</v>
      </c>
      <c r="D14" s="4" t="s">
        <v>99</v>
      </c>
      <c r="E14" s="24"/>
      <c r="F14" s="4" t="s">
        <v>127</v>
      </c>
      <c r="G14" s="4" t="s">
        <v>235</v>
      </c>
      <c r="H14" s="4" t="s">
        <v>99</v>
      </c>
    </row>
    <row r="15" spans="1:11" ht="13.95" customHeight="1" x14ac:dyDescent="0.3">
      <c r="B15" s="25" t="s">
        <v>236</v>
      </c>
      <c r="C15" s="26" t="s">
        <v>93</v>
      </c>
      <c r="D15" s="26" t="s">
        <v>93</v>
      </c>
      <c r="E15" s="9"/>
      <c r="F15" s="9"/>
      <c r="G15" s="26" t="s">
        <v>93</v>
      </c>
      <c r="H15" s="26" t="s">
        <v>93</v>
      </c>
    </row>
    <row r="16" spans="1:11" ht="13.95" customHeight="1" x14ac:dyDescent="0.3">
      <c r="B16" s="27" t="s">
        <v>237</v>
      </c>
      <c r="C16" s="26" t="s">
        <v>238</v>
      </c>
      <c r="D16" s="26" t="s">
        <v>239</v>
      </c>
      <c r="E16" s="9"/>
      <c r="F16" s="9"/>
      <c r="G16" s="26" t="s">
        <v>238</v>
      </c>
      <c r="H16" s="26" t="s">
        <v>239</v>
      </c>
    </row>
    <row r="17" spans="2:10" ht="16.05" customHeight="1" x14ac:dyDescent="0.3">
      <c r="B17" s="5" t="s">
        <v>240</v>
      </c>
      <c r="C17" s="28"/>
      <c r="D17" s="29"/>
      <c r="E17" s="28"/>
      <c r="F17" s="28"/>
      <c r="G17" s="28"/>
      <c r="H17" s="29"/>
    </row>
    <row r="19" spans="2:10" ht="16.05" customHeight="1" x14ac:dyDescent="0.3">
      <c r="B19" s="64" t="s">
        <v>241</v>
      </c>
      <c r="C19" s="51"/>
      <c r="D19" s="51"/>
      <c r="E19" s="51"/>
      <c r="F19" s="51"/>
      <c r="G19" s="51"/>
      <c r="H19" s="51"/>
      <c r="I19" s="51"/>
      <c r="J19" s="52"/>
    </row>
    <row r="20" spans="2:10" ht="13.95" customHeight="1" x14ac:dyDescent="0.3">
      <c r="B20" s="23"/>
      <c r="C20" s="74" t="s">
        <v>121</v>
      </c>
      <c r="D20" s="45"/>
      <c r="E20" s="23"/>
      <c r="F20" s="23"/>
      <c r="G20" s="74" t="s">
        <v>122</v>
      </c>
      <c r="H20" s="45"/>
      <c r="I20" s="23"/>
      <c r="J20" s="23"/>
    </row>
    <row r="21" spans="2:10" ht="18" customHeight="1" x14ac:dyDescent="0.3">
      <c r="B21" s="4" t="s">
        <v>127</v>
      </c>
      <c r="C21" s="4" t="s">
        <v>235</v>
      </c>
      <c r="D21" s="4" t="s">
        <v>99</v>
      </c>
      <c r="E21" s="24"/>
      <c r="F21" s="4" t="s">
        <v>127</v>
      </c>
      <c r="G21" s="4" t="s">
        <v>235</v>
      </c>
      <c r="H21" s="4" t="s">
        <v>99</v>
      </c>
    </row>
    <row r="22" spans="2:10" ht="13.95" customHeight="1" x14ac:dyDescent="0.3">
      <c r="B22" s="25" t="s">
        <v>242</v>
      </c>
      <c r="C22" s="26" t="s">
        <v>243</v>
      </c>
      <c r="D22" s="26" t="s">
        <v>244</v>
      </c>
      <c r="E22" s="9"/>
      <c r="F22" s="9"/>
      <c r="G22" s="26" t="s">
        <v>245</v>
      </c>
      <c r="H22" s="26" t="s">
        <v>246</v>
      </c>
    </row>
    <row r="23" spans="2:10" ht="13.95" customHeight="1" x14ac:dyDescent="0.3">
      <c r="B23" s="27" t="s">
        <v>247</v>
      </c>
      <c r="C23" s="26" t="s">
        <v>248</v>
      </c>
      <c r="D23" s="26" t="s">
        <v>249</v>
      </c>
      <c r="E23" s="9"/>
      <c r="F23" s="9"/>
      <c r="G23" s="26" t="s">
        <v>250</v>
      </c>
      <c r="H23" s="26" t="s">
        <v>251</v>
      </c>
    </row>
    <row r="24" spans="2:10" ht="13.95" customHeight="1" x14ac:dyDescent="0.3">
      <c r="B24" s="25" t="s">
        <v>252</v>
      </c>
      <c r="C24" s="26" t="s">
        <v>253</v>
      </c>
      <c r="D24" s="26" t="s">
        <v>254</v>
      </c>
      <c r="E24" s="9"/>
      <c r="F24" s="9"/>
      <c r="G24" s="26" t="s">
        <v>255</v>
      </c>
      <c r="H24" s="26" t="s">
        <v>255</v>
      </c>
    </row>
    <row r="25" spans="2:10" ht="13.95" customHeight="1" x14ac:dyDescent="0.3">
      <c r="B25" s="27" t="s">
        <v>256</v>
      </c>
      <c r="C25" s="26" t="s">
        <v>257</v>
      </c>
      <c r="D25" s="26" t="s">
        <v>258</v>
      </c>
      <c r="E25" s="9"/>
      <c r="F25" s="9"/>
      <c r="G25" s="26" t="s">
        <v>196</v>
      </c>
      <c r="H25" s="26" t="s">
        <v>196</v>
      </c>
    </row>
    <row r="26" spans="2:10" ht="13.95" customHeight="1" x14ac:dyDescent="0.3">
      <c r="B26" s="25" t="s">
        <v>259</v>
      </c>
      <c r="C26" s="26" t="s">
        <v>150</v>
      </c>
      <c r="D26" s="26" t="s">
        <v>260</v>
      </c>
      <c r="E26" s="9"/>
      <c r="F26" s="9"/>
      <c r="G26" s="26" t="s">
        <v>150</v>
      </c>
      <c r="H26" s="26" t="s">
        <v>150</v>
      </c>
    </row>
    <row r="27" spans="2:10" ht="16.05" customHeight="1" x14ac:dyDescent="0.3">
      <c r="B27" s="5" t="s">
        <v>240</v>
      </c>
      <c r="C27" s="28"/>
      <c r="D27" s="29"/>
      <c r="E27" s="28"/>
      <c r="F27" s="28"/>
      <c r="G27" s="28"/>
      <c r="H27" s="29"/>
    </row>
    <row r="29" spans="2:10" ht="16.05" customHeight="1" x14ac:dyDescent="0.3">
      <c r="B29" s="64" t="s">
        <v>261</v>
      </c>
      <c r="C29" s="51"/>
      <c r="D29" s="51"/>
      <c r="E29" s="51"/>
      <c r="F29" s="51"/>
      <c r="G29" s="51"/>
      <c r="H29" s="51"/>
      <c r="I29" s="51"/>
      <c r="J29" s="52"/>
    </row>
    <row r="30" spans="2:10" ht="15" customHeight="1" x14ac:dyDescent="0.3">
      <c r="B30" s="57" t="s">
        <v>262</v>
      </c>
      <c r="C30" s="45"/>
      <c r="D30" s="43" t="s">
        <v>102</v>
      </c>
      <c r="E30" s="45"/>
      <c r="F30" s="10"/>
      <c r="G30" s="30"/>
      <c r="H30" s="30"/>
      <c r="I30" s="30"/>
      <c r="J30" s="30"/>
    </row>
    <row r="31" spans="2:10" ht="15" customHeight="1" x14ac:dyDescent="0.3">
      <c r="B31" s="60" t="s">
        <v>263</v>
      </c>
      <c r="C31" s="45"/>
      <c r="D31" s="43" t="s">
        <v>264</v>
      </c>
      <c r="E31" s="45"/>
      <c r="F31" s="10" t="s">
        <v>99</v>
      </c>
      <c r="G31" s="31"/>
      <c r="H31" s="31"/>
      <c r="I31" s="31"/>
      <c r="J31" s="31"/>
    </row>
    <row r="32" spans="2:10" ht="15" customHeight="1" x14ac:dyDescent="0.3">
      <c r="B32" s="57" t="s">
        <v>265</v>
      </c>
      <c r="C32" s="45"/>
      <c r="D32" s="43" t="s">
        <v>266</v>
      </c>
      <c r="E32" s="45"/>
      <c r="F32" s="10" t="s">
        <v>99</v>
      </c>
      <c r="G32" s="30"/>
      <c r="H32" s="30"/>
      <c r="I32" s="30"/>
      <c r="J32" s="30"/>
    </row>
    <row r="33" spans="2:10" ht="15" customHeight="1" x14ac:dyDescent="0.3">
      <c r="B33" s="60" t="s">
        <v>267</v>
      </c>
      <c r="C33" s="45"/>
      <c r="D33" s="43" t="s">
        <v>268</v>
      </c>
      <c r="E33" s="45"/>
      <c r="F33" s="10" t="s">
        <v>99</v>
      </c>
      <c r="G33" s="31"/>
      <c r="H33" s="31"/>
      <c r="I33" s="31"/>
      <c r="J33" s="31"/>
    </row>
    <row r="34" spans="2:10" ht="15" customHeight="1" x14ac:dyDescent="0.3">
      <c r="B34" s="57" t="s">
        <v>269</v>
      </c>
      <c r="C34" s="45"/>
      <c r="D34" s="43" t="s">
        <v>270</v>
      </c>
      <c r="E34" s="45"/>
      <c r="F34" s="10" t="s">
        <v>87</v>
      </c>
      <c r="G34" s="30"/>
      <c r="H34" s="30"/>
      <c r="I34" s="30"/>
      <c r="J34" s="30"/>
    </row>
    <row r="35" spans="2:10" ht="15" customHeight="1" x14ac:dyDescent="0.3">
      <c r="B35" s="60" t="s">
        <v>271</v>
      </c>
      <c r="C35" s="45"/>
      <c r="D35" s="43" t="s">
        <v>272</v>
      </c>
      <c r="E35" s="45"/>
      <c r="F35" s="10" t="s">
        <v>113</v>
      </c>
      <c r="G35" s="31"/>
      <c r="H35" s="31"/>
      <c r="I35" s="31"/>
      <c r="J35" s="31"/>
    </row>
    <row r="36" spans="2:10" ht="15" customHeight="1" x14ac:dyDescent="0.3">
      <c r="B36" s="57" t="s">
        <v>114</v>
      </c>
      <c r="C36" s="45"/>
      <c r="D36" s="43" t="s">
        <v>115</v>
      </c>
      <c r="E36" s="45"/>
      <c r="F36" s="10" t="s">
        <v>99</v>
      </c>
      <c r="G36" s="30"/>
      <c r="H36" s="30"/>
      <c r="I36" s="30"/>
      <c r="J36" s="30"/>
    </row>
    <row r="37" spans="2:10" ht="15" customHeight="1" x14ac:dyDescent="0.3">
      <c r="B37" s="60" t="s">
        <v>273</v>
      </c>
      <c r="C37" s="45"/>
      <c r="D37" s="43" t="s">
        <v>274</v>
      </c>
      <c r="E37" s="45"/>
      <c r="F37" s="10" t="s">
        <v>99</v>
      </c>
      <c r="G37" s="31"/>
      <c r="H37" s="31"/>
      <c r="I37" s="31"/>
      <c r="J37" s="31"/>
    </row>
    <row r="39" spans="2:10" ht="16.05" customHeight="1" x14ac:dyDescent="0.3">
      <c r="B39" s="64" t="s">
        <v>275</v>
      </c>
      <c r="C39" s="51"/>
      <c r="D39" s="51"/>
      <c r="E39" s="51"/>
      <c r="F39" s="51"/>
      <c r="G39" s="51"/>
      <c r="H39" s="51"/>
      <c r="I39" s="51"/>
      <c r="J39" s="52"/>
    </row>
    <row r="40" spans="2:10" x14ac:dyDescent="0.3">
      <c r="B40" s="4" t="s">
        <v>276</v>
      </c>
      <c r="C40" s="4" t="s">
        <v>277</v>
      </c>
      <c r="D40" s="4" t="s">
        <v>278</v>
      </c>
      <c r="E40" s="4" t="s">
        <v>279</v>
      </c>
      <c r="F40" s="4" t="s">
        <v>280</v>
      </c>
      <c r="G40" s="4" t="s">
        <v>281</v>
      </c>
    </row>
    <row r="41" spans="2:10" ht="13.95" customHeight="1" x14ac:dyDescent="0.3">
      <c r="B41" s="18" t="s">
        <v>282</v>
      </c>
      <c r="C41" s="18" t="s">
        <v>283</v>
      </c>
      <c r="D41" s="32" t="s">
        <v>284</v>
      </c>
      <c r="E41" s="32" t="s">
        <v>285</v>
      </c>
      <c r="F41" s="32" t="s">
        <v>286</v>
      </c>
      <c r="G41" s="32" t="s">
        <v>287</v>
      </c>
    </row>
    <row r="42" spans="2:10" ht="13.95" customHeight="1" x14ac:dyDescent="0.3">
      <c r="B42" s="19" t="s">
        <v>288</v>
      </c>
      <c r="C42" s="19" t="s">
        <v>289</v>
      </c>
      <c r="D42" s="32" t="s">
        <v>290</v>
      </c>
      <c r="E42" s="32" t="s">
        <v>291</v>
      </c>
      <c r="F42" s="32" t="s">
        <v>286</v>
      </c>
      <c r="G42" s="32" t="s">
        <v>292</v>
      </c>
    </row>
    <row r="43" spans="2:10" ht="13.95" customHeight="1" x14ac:dyDescent="0.3">
      <c r="B43" s="18" t="s">
        <v>293</v>
      </c>
      <c r="C43" s="18"/>
      <c r="D43" s="32"/>
      <c r="E43" s="32"/>
      <c r="F43" s="32"/>
      <c r="G43" s="32"/>
    </row>
    <row r="44" spans="2:10" ht="13.95" customHeight="1" x14ac:dyDescent="0.3">
      <c r="B44" s="19" t="s">
        <v>294</v>
      </c>
      <c r="C44" s="19"/>
      <c r="D44" s="32"/>
      <c r="E44" s="32"/>
      <c r="F44" s="32"/>
      <c r="G44" s="32"/>
    </row>
    <row r="46" spans="2:10" ht="40.049999999999997" customHeight="1" x14ac:dyDescent="0.3">
      <c r="B46" s="67" t="s">
        <v>118</v>
      </c>
      <c r="C46" s="68"/>
      <c r="D46" s="68"/>
      <c r="G46" s="67" t="s">
        <v>119</v>
      </c>
      <c r="H46" s="68"/>
      <c r="I46" s="68"/>
    </row>
  </sheetData>
  <mergeCells count="44">
    <mergeCell ref="D1:I1"/>
    <mergeCell ref="G20:H20"/>
    <mergeCell ref="B30:C30"/>
    <mergeCell ref="D30:E30"/>
    <mergeCell ref="B33:C33"/>
    <mergeCell ref="D33:E33"/>
    <mergeCell ref="A1:B4"/>
    <mergeCell ref="G8:I8"/>
    <mergeCell ref="B32:C32"/>
    <mergeCell ref="C13:D13"/>
    <mergeCell ref="A9:B9"/>
    <mergeCell ref="B12:J12"/>
    <mergeCell ref="G7:I7"/>
    <mergeCell ref="B37:C37"/>
    <mergeCell ref="G46:I46"/>
    <mergeCell ref="D37:E37"/>
    <mergeCell ref="G9:I9"/>
    <mergeCell ref="A8:B8"/>
    <mergeCell ref="B46:D46"/>
    <mergeCell ref="B39:J39"/>
    <mergeCell ref="B36:C36"/>
    <mergeCell ref="B35:C35"/>
    <mergeCell ref="D35:E35"/>
    <mergeCell ref="D36:E36"/>
    <mergeCell ref="D31:E31"/>
    <mergeCell ref="A6:B6"/>
    <mergeCell ref="B29:J29"/>
    <mergeCell ref="C20:D20"/>
    <mergeCell ref="B19:J19"/>
    <mergeCell ref="A7:B7"/>
    <mergeCell ref="C8:E8"/>
    <mergeCell ref="D32:E32"/>
    <mergeCell ref="C7:E7"/>
    <mergeCell ref="G13:H13"/>
    <mergeCell ref="B34:C34"/>
    <mergeCell ref="C6:E6"/>
    <mergeCell ref="B11:J11"/>
    <mergeCell ref="D2:I2"/>
    <mergeCell ref="G6:I6"/>
    <mergeCell ref="D34:E34"/>
    <mergeCell ref="C9:E9"/>
    <mergeCell ref="B31:C31"/>
    <mergeCell ref="D4:I4"/>
    <mergeCell ref="D3:I3"/>
  </mergeCells>
  <printOptions horizontalCentered="1"/>
  <pageMargins left="0.4" right="0.4" top="0.75" bottom="0.6" header="0.3" footer="0.3"/>
  <pageSetup paperSize="9" fitToHeight="0" orientation="portrait"/>
  <headerFooter>
    <oddHeader>&amp;R&amp;8 &amp;8&amp;D  &amp;T</oddHeader>
    <oddFooter>&amp;L&amp;8 &amp;8NAABSA Marine Surveyors  |  surveyors@naabsa.com  |  naabsa.com&amp;R&amp;8 &amp;8Sludge Summary  –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6"/>
  <sheetViews>
    <sheetView showGridLines="0" tabSelected="1" workbookViewId="0">
      <selection activeCell="H10" sqref="C6:I10"/>
    </sheetView>
  </sheetViews>
  <sheetFormatPr defaultRowHeight="14.4" x14ac:dyDescent="0.3"/>
  <cols>
    <col min="1" max="1" width="2" customWidth="1"/>
    <col min="2" max="2" width="22" customWidth="1"/>
    <col min="3" max="5" width="13" customWidth="1"/>
    <col min="6" max="6" width="8" customWidth="1"/>
    <col min="7" max="8" width="13" customWidth="1"/>
    <col min="9" max="9" width="8" customWidth="1"/>
    <col min="10" max="10" width="2" customWidth="1"/>
  </cols>
  <sheetData>
    <row r="1" spans="1:10" ht="16.8" x14ac:dyDescent="0.3">
      <c r="A1" s="55" t="s">
        <v>0</v>
      </c>
      <c r="B1" s="56"/>
      <c r="D1" s="53" t="s">
        <v>1</v>
      </c>
      <c r="E1" s="47"/>
      <c r="F1" s="47"/>
      <c r="G1" s="47"/>
      <c r="H1" s="47"/>
      <c r="I1" s="47"/>
    </row>
    <row r="2" spans="1:10" x14ac:dyDescent="0.3">
      <c r="A2" s="56"/>
      <c r="B2" s="56"/>
      <c r="D2" s="46" t="s">
        <v>2</v>
      </c>
      <c r="E2" s="47"/>
      <c r="F2" s="47"/>
      <c r="G2" s="47"/>
      <c r="H2" s="47"/>
      <c r="I2" s="47"/>
    </row>
    <row r="3" spans="1:10" x14ac:dyDescent="0.3">
      <c r="A3" s="56"/>
      <c r="B3" s="56"/>
      <c r="D3" s="46" t="s">
        <v>3</v>
      </c>
      <c r="E3" s="47"/>
      <c r="F3" s="47"/>
      <c r="G3" s="47"/>
      <c r="H3" s="47"/>
      <c r="I3" s="47"/>
    </row>
    <row r="4" spans="1:10" x14ac:dyDescent="0.3">
      <c r="A4" s="56"/>
      <c r="B4" s="56"/>
      <c r="D4" s="46"/>
      <c r="E4" s="47"/>
      <c r="F4" s="47"/>
      <c r="G4" s="47"/>
      <c r="H4" s="47"/>
      <c r="I4" s="47"/>
    </row>
    <row r="5" spans="1:10" ht="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65" t="s">
        <v>70</v>
      </c>
      <c r="B6" s="45"/>
      <c r="C6" s="59">
        <f>Summary!B12</f>
        <v>0</v>
      </c>
      <c r="D6" s="44"/>
      <c r="E6" s="45"/>
      <c r="F6" s="3" t="s">
        <v>71</v>
      </c>
      <c r="G6" s="59">
        <f>Summary!B28</f>
        <v>0</v>
      </c>
      <c r="H6" s="44"/>
      <c r="I6" s="45"/>
    </row>
    <row r="7" spans="1:10" x14ac:dyDescent="0.3">
      <c r="A7" s="65" t="s">
        <v>72</v>
      </c>
      <c r="B7" s="45"/>
      <c r="C7" s="59">
        <f>Summary!B13</f>
        <v>0</v>
      </c>
      <c r="D7" s="44"/>
      <c r="E7" s="45"/>
      <c r="F7" s="3" t="s">
        <v>73</v>
      </c>
      <c r="G7" s="59">
        <f>Summary!B29</f>
        <v>0</v>
      </c>
      <c r="H7" s="44"/>
      <c r="I7" s="45"/>
    </row>
    <row r="8" spans="1:10" x14ac:dyDescent="0.3">
      <c r="A8" s="65" t="s">
        <v>74</v>
      </c>
      <c r="B8" s="45"/>
      <c r="C8" s="59">
        <f>Summary!B21</f>
        <v>0</v>
      </c>
      <c r="D8" s="44"/>
      <c r="E8" s="45"/>
      <c r="F8" s="3" t="s">
        <v>75</v>
      </c>
      <c r="G8" s="59">
        <f>Summary!B20</f>
        <v>0</v>
      </c>
      <c r="H8" s="44"/>
      <c r="I8" s="45"/>
    </row>
    <row r="9" spans="1:10" x14ac:dyDescent="0.3">
      <c r="A9" s="65" t="s">
        <v>76</v>
      </c>
      <c r="B9" s="45"/>
      <c r="C9" s="59">
        <f>Summary!B11</f>
        <v>0</v>
      </c>
      <c r="D9" s="44"/>
      <c r="E9" s="45"/>
      <c r="F9" s="3" t="s">
        <v>77</v>
      </c>
      <c r="G9" s="59">
        <f>Summary!B22</f>
        <v>0</v>
      </c>
      <c r="H9" s="44"/>
      <c r="I9" s="45"/>
    </row>
    <row r="11" spans="1:10" ht="22.05" customHeight="1" x14ac:dyDescent="0.3">
      <c r="B11" s="49" t="s">
        <v>295</v>
      </c>
      <c r="C11" s="47"/>
      <c r="D11" s="47"/>
      <c r="E11" s="47"/>
      <c r="F11" s="47"/>
      <c r="G11" s="47"/>
      <c r="H11" s="47"/>
      <c r="I11" s="47"/>
    </row>
    <row r="12" spans="1:10" ht="16.05" customHeight="1" x14ac:dyDescent="0.3">
      <c r="B12" s="33" t="s">
        <v>296</v>
      </c>
      <c r="C12" s="43" t="s">
        <v>297</v>
      </c>
      <c r="D12" s="45"/>
      <c r="E12" s="33" t="s">
        <v>298</v>
      </c>
      <c r="F12" s="43" t="s">
        <v>299</v>
      </c>
      <c r="G12" s="44"/>
      <c r="H12" s="45"/>
    </row>
    <row r="14" spans="1:10" ht="16.05" customHeight="1" x14ac:dyDescent="0.3">
      <c r="B14" s="64" t="s">
        <v>300</v>
      </c>
      <c r="C14" s="51"/>
      <c r="D14" s="51"/>
      <c r="E14" s="51"/>
      <c r="F14" s="51"/>
      <c r="G14" s="51"/>
      <c r="H14" s="51"/>
      <c r="I14" s="52"/>
    </row>
    <row r="15" spans="1:10" ht="22.05" customHeight="1" x14ac:dyDescent="0.3">
      <c r="B15" s="17" t="s">
        <v>128</v>
      </c>
      <c r="C15" s="17" t="s">
        <v>301</v>
      </c>
      <c r="D15" s="17" t="s">
        <v>302</v>
      </c>
      <c r="E15" s="17" t="s">
        <v>301</v>
      </c>
      <c r="F15" s="17" t="s">
        <v>303</v>
      </c>
      <c r="G15" s="17" t="s">
        <v>304</v>
      </c>
      <c r="H15" s="17" t="s">
        <v>305</v>
      </c>
      <c r="I15" s="17" t="s">
        <v>306</v>
      </c>
    </row>
    <row r="16" spans="1:10" ht="15" customHeight="1" x14ac:dyDescent="0.3">
      <c r="B16" s="34" t="s">
        <v>19</v>
      </c>
      <c r="C16" s="35" t="s">
        <v>93</v>
      </c>
      <c r="D16" s="35" t="s">
        <v>307</v>
      </c>
      <c r="E16" s="35" t="s">
        <v>89</v>
      </c>
      <c r="F16" s="35" t="s">
        <v>93</v>
      </c>
      <c r="G16" s="35" t="s">
        <v>93</v>
      </c>
      <c r="H16" s="34" t="s">
        <v>308</v>
      </c>
      <c r="I16" s="34" t="s">
        <v>89</v>
      </c>
    </row>
    <row r="17" spans="2:9" ht="15" customHeight="1" x14ac:dyDescent="0.3">
      <c r="B17" s="36" t="s">
        <v>21</v>
      </c>
      <c r="C17" s="35" t="s">
        <v>309</v>
      </c>
      <c r="D17" s="35" t="s">
        <v>310</v>
      </c>
      <c r="E17" s="35" t="s">
        <v>311</v>
      </c>
      <c r="F17" s="35" t="s">
        <v>93</v>
      </c>
      <c r="G17" s="35" t="s">
        <v>93</v>
      </c>
      <c r="H17" s="36" t="s">
        <v>312</v>
      </c>
      <c r="I17" s="36" t="s">
        <v>92</v>
      </c>
    </row>
    <row r="18" spans="2:9" ht="15" customHeight="1" x14ac:dyDescent="0.3">
      <c r="B18" s="34" t="s">
        <v>23</v>
      </c>
      <c r="C18" s="35" t="s">
        <v>93</v>
      </c>
      <c r="D18" s="35" t="s">
        <v>93</v>
      </c>
      <c r="E18" s="35" t="s">
        <v>93</v>
      </c>
      <c r="F18" s="35" t="s">
        <v>93</v>
      </c>
      <c r="G18" s="35" t="s">
        <v>93</v>
      </c>
      <c r="H18" s="34" t="s">
        <v>93</v>
      </c>
      <c r="I18" s="34" t="s">
        <v>93</v>
      </c>
    </row>
    <row r="19" spans="2:9" ht="15" customHeight="1" x14ac:dyDescent="0.3">
      <c r="B19" s="36" t="s">
        <v>25</v>
      </c>
      <c r="C19" s="35" t="s">
        <v>313</v>
      </c>
      <c r="D19" s="35" t="s">
        <v>93</v>
      </c>
      <c r="E19" s="35" t="s">
        <v>314</v>
      </c>
      <c r="F19" s="35" t="s">
        <v>93</v>
      </c>
      <c r="G19" s="35" t="s">
        <v>93</v>
      </c>
      <c r="H19" s="36" t="s">
        <v>315</v>
      </c>
      <c r="I19" s="36" t="s">
        <v>95</v>
      </c>
    </row>
    <row r="20" spans="2:9" ht="16.05" customHeight="1" x14ac:dyDescent="0.3">
      <c r="B20" s="20" t="s">
        <v>240</v>
      </c>
      <c r="C20" s="29" t="s">
        <v>316</v>
      </c>
      <c r="D20" s="29" t="s">
        <v>317</v>
      </c>
      <c r="E20" s="29" t="s">
        <v>318</v>
      </c>
      <c r="F20" s="29" t="s">
        <v>93</v>
      </c>
      <c r="G20" s="29" t="s">
        <v>93</v>
      </c>
      <c r="H20" s="29" t="s">
        <v>110</v>
      </c>
      <c r="I20" s="29" t="s">
        <v>319</v>
      </c>
    </row>
    <row r="22" spans="2:9" ht="16.05" customHeight="1" x14ac:dyDescent="0.3">
      <c r="B22" s="64" t="s">
        <v>320</v>
      </c>
      <c r="C22" s="51"/>
      <c r="D22" s="51"/>
      <c r="E22" s="51"/>
      <c r="F22" s="51"/>
      <c r="G22" s="51"/>
      <c r="H22" s="51"/>
      <c r="I22" s="52"/>
    </row>
    <row r="23" spans="2:9" ht="16.05" customHeight="1" x14ac:dyDescent="0.3">
      <c r="B23" s="4" t="s">
        <v>77</v>
      </c>
      <c r="C23" s="4" t="s">
        <v>128</v>
      </c>
      <c r="D23" s="4" t="s">
        <v>321</v>
      </c>
      <c r="E23" s="4" t="s">
        <v>322</v>
      </c>
      <c r="F23" s="4" t="s">
        <v>323</v>
      </c>
      <c r="G23" s="4" t="s">
        <v>324</v>
      </c>
    </row>
    <row r="24" spans="2:9" ht="13.95" customHeight="1" x14ac:dyDescent="0.3">
      <c r="B24" s="18" t="s">
        <v>297</v>
      </c>
      <c r="C24" s="19" t="s">
        <v>325</v>
      </c>
      <c r="D24" s="32" t="s">
        <v>93</v>
      </c>
      <c r="E24" s="32" t="s">
        <v>93</v>
      </c>
      <c r="F24" s="32" t="s">
        <v>93</v>
      </c>
      <c r="G24" s="19" t="s">
        <v>326</v>
      </c>
    </row>
    <row r="25" spans="2:9" ht="13.95" customHeight="1" x14ac:dyDescent="0.3">
      <c r="B25" s="18" t="s">
        <v>299</v>
      </c>
      <c r="C25" s="19" t="s">
        <v>325</v>
      </c>
      <c r="D25" s="32" t="s">
        <v>93</v>
      </c>
      <c r="E25" s="32" t="s">
        <v>93</v>
      </c>
      <c r="F25" s="32" t="s">
        <v>93</v>
      </c>
      <c r="G25" s="19" t="s">
        <v>327</v>
      </c>
    </row>
    <row r="26" spans="2:9" ht="13.95" customHeight="1" x14ac:dyDescent="0.3">
      <c r="B26" s="18"/>
      <c r="C26" s="19" t="s">
        <v>328</v>
      </c>
      <c r="D26" s="32" t="s">
        <v>93</v>
      </c>
      <c r="E26" s="32" t="s">
        <v>93</v>
      </c>
      <c r="F26" s="32" t="s">
        <v>93</v>
      </c>
      <c r="G26" s="19"/>
    </row>
    <row r="27" spans="2:9" ht="13.95" customHeight="1" x14ac:dyDescent="0.3">
      <c r="B27" s="18"/>
      <c r="C27" s="19" t="s">
        <v>329</v>
      </c>
      <c r="D27" s="32" t="s">
        <v>330</v>
      </c>
      <c r="E27" s="32" t="s">
        <v>330</v>
      </c>
      <c r="F27" s="32" t="s">
        <v>330</v>
      </c>
      <c r="G27" s="19"/>
    </row>
    <row r="28" spans="2:9" ht="13.95" customHeight="1" x14ac:dyDescent="0.3">
      <c r="B28" s="18"/>
      <c r="C28" s="19" t="s">
        <v>331</v>
      </c>
      <c r="D28" s="32" t="s">
        <v>93</v>
      </c>
      <c r="E28" s="32" t="s">
        <v>93</v>
      </c>
      <c r="F28" s="32" t="s">
        <v>93</v>
      </c>
      <c r="G28" s="19"/>
    </row>
    <row r="30" spans="2:9" ht="16.05" customHeight="1" x14ac:dyDescent="0.3">
      <c r="B30" s="37" t="s">
        <v>332</v>
      </c>
    </row>
    <row r="31" spans="2:9" ht="18" customHeight="1" x14ac:dyDescent="0.3">
      <c r="B31" s="43"/>
      <c r="C31" s="44"/>
      <c r="D31" s="44"/>
      <c r="E31" s="44"/>
      <c r="F31" s="44"/>
      <c r="G31" s="44"/>
      <c r="H31" s="44"/>
      <c r="I31" s="45"/>
    </row>
    <row r="32" spans="2:9" ht="18" customHeight="1" x14ac:dyDescent="0.3">
      <c r="B32" s="43"/>
      <c r="C32" s="44"/>
      <c r="D32" s="44"/>
      <c r="E32" s="44"/>
      <c r="F32" s="44"/>
      <c r="G32" s="44"/>
      <c r="H32" s="44"/>
      <c r="I32" s="45"/>
    </row>
    <row r="33" spans="2:9" ht="18" customHeight="1" x14ac:dyDescent="0.3">
      <c r="B33" s="43"/>
      <c r="C33" s="44"/>
      <c r="D33" s="44"/>
      <c r="E33" s="44"/>
      <c r="F33" s="44"/>
      <c r="G33" s="44"/>
      <c r="H33" s="44"/>
      <c r="I33" s="45"/>
    </row>
    <row r="34" spans="2:9" ht="18" customHeight="1" x14ac:dyDescent="0.3">
      <c r="B34" s="43"/>
      <c r="C34" s="44"/>
      <c r="D34" s="44"/>
      <c r="E34" s="44"/>
      <c r="F34" s="44"/>
      <c r="G34" s="44"/>
      <c r="H34" s="44"/>
      <c r="I34" s="45"/>
    </row>
    <row r="36" spans="2:9" ht="40.049999999999997" customHeight="1" x14ac:dyDescent="0.3">
      <c r="B36" s="67" t="s">
        <v>118</v>
      </c>
      <c r="C36" s="68"/>
      <c r="D36" s="68"/>
      <c r="F36" s="67" t="s">
        <v>119</v>
      </c>
      <c r="G36" s="68"/>
      <c r="H36" s="68"/>
    </row>
  </sheetData>
  <mergeCells count="28">
    <mergeCell ref="B34:I34"/>
    <mergeCell ref="G9:I9"/>
    <mergeCell ref="A8:B8"/>
    <mergeCell ref="C6:E6"/>
    <mergeCell ref="D1:I1"/>
    <mergeCell ref="B33:I33"/>
    <mergeCell ref="A1:B4"/>
    <mergeCell ref="G8:I8"/>
    <mergeCell ref="F12:H12"/>
    <mergeCell ref="A9:B9"/>
    <mergeCell ref="G7:I7"/>
    <mergeCell ref="B32:I32"/>
    <mergeCell ref="D2:I2"/>
    <mergeCell ref="F36:H36"/>
    <mergeCell ref="G6:I6"/>
    <mergeCell ref="C9:E9"/>
    <mergeCell ref="B22:I22"/>
    <mergeCell ref="B31:I31"/>
    <mergeCell ref="A6:B6"/>
    <mergeCell ref="A7:B7"/>
    <mergeCell ref="B11:I11"/>
    <mergeCell ref="D4:I4"/>
    <mergeCell ref="C8:E8"/>
    <mergeCell ref="B14:I14"/>
    <mergeCell ref="D3:I3"/>
    <mergeCell ref="C7:E7"/>
    <mergeCell ref="C12:D12"/>
    <mergeCell ref="B36:D36"/>
  </mergeCells>
  <printOptions horizontalCentered="1"/>
  <pageMargins left="0.4" right="0.4" top="0.75" bottom="0.6" header="0.3" footer="0.3"/>
  <pageSetup paperSize="9" fitToHeight="0" orientation="portrait"/>
  <headerFooter>
    <oddHeader>&amp;R&amp;8 &amp;8&amp;D  &amp;T</oddHeader>
    <oddFooter>&amp;L&amp;8 &amp;8NAABSA Marine Surveyors  |  surveyors@naabsa.com  |  naabsa.com&amp;R&amp;8 &amp;8Consumption Report  –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8"/>
  <sheetViews>
    <sheetView showGridLines="0" workbookViewId="0"/>
  </sheetViews>
  <sheetFormatPr defaultRowHeight="14.4" x14ac:dyDescent="0.3"/>
  <cols>
    <col min="1" max="1" width="2" customWidth="1"/>
    <col min="2" max="2" width="36" customWidth="1"/>
    <col min="3" max="4" width="14" customWidth="1"/>
    <col min="5" max="5" width="8" customWidth="1"/>
  </cols>
  <sheetData>
    <row r="1" spans="1:9" ht="16.8" x14ac:dyDescent="0.3">
      <c r="A1" s="55" t="s">
        <v>0</v>
      </c>
      <c r="B1" s="56"/>
      <c r="C1" s="53" t="s">
        <v>1</v>
      </c>
      <c r="D1" s="47"/>
      <c r="E1" s="47"/>
    </row>
    <row r="2" spans="1:9" x14ac:dyDescent="0.3">
      <c r="A2" s="56"/>
      <c r="B2" s="56"/>
      <c r="C2" s="46" t="s">
        <v>2</v>
      </c>
      <c r="D2" s="47"/>
      <c r="E2" s="47"/>
    </row>
    <row r="3" spans="1:9" x14ac:dyDescent="0.3">
      <c r="A3" s="56"/>
      <c r="B3" s="56"/>
      <c r="C3" s="46" t="s">
        <v>3</v>
      </c>
      <c r="D3" s="47"/>
      <c r="E3" s="47"/>
    </row>
    <row r="4" spans="1:9" x14ac:dyDescent="0.3">
      <c r="A4" s="56"/>
      <c r="B4" s="56"/>
      <c r="C4" s="46"/>
      <c r="D4" s="47"/>
      <c r="E4" s="47"/>
    </row>
    <row r="5" spans="1:9" ht="3" customHeight="1" x14ac:dyDescent="0.3">
      <c r="A5" s="1"/>
      <c r="B5" s="1"/>
      <c r="C5" s="1"/>
      <c r="D5" s="1"/>
      <c r="E5" s="1"/>
    </row>
    <row r="6" spans="1:9" x14ac:dyDescent="0.3">
      <c r="A6" s="65" t="s">
        <v>70</v>
      </c>
      <c r="B6" s="45"/>
      <c r="C6" s="59">
        <f>Summary!B12</f>
        <v>0</v>
      </c>
      <c r="D6" s="44"/>
      <c r="E6" s="45"/>
      <c r="F6" s="3" t="s">
        <v>71</v>
      </c>
      <c r="G6" s="59">
        <f>Summary!B28</f>
        <v>0</v>
      </c>
      <c r="H6" s="44"/>
      <c r="I6" s="45"/>
    </row>
    <row r="7" spans="1:9" x14ac:dyDescent="0.3">
      <c r="A7" s="65" t="s">
        <v>72</v>
      </c>
      <c r="B7" s="45"/>
      <c r="C7" s="59">
        <f>Summary!B13</f>
        <v>0</v>
      </c>
      <c r="D7" s="44"/>
      <c r="E7" s="45"/>
      <c r="F7" s="3" t="s">
        <v>73</v>
      </c>
      <c r="G7" s="59">
        <f>Summary!B29</f>
        <v>0</v>
      </c>
      <c r="H7" s="44"/>
      <c r="I7" s="45"/>
    </row>
    <row r="8" spans="1:9" x14ac:dyDescent="0.3">
      <c r="A8" s="65" t="s">
        <v>74</v>
      </c>
      <c r="B8" s="45"/>
      <c r="C8" s="59">
        <f>Summary!B21</f>
        <v>0</v>
      </c>
      <c r="D8" s="44"/>
      <c r="E8" s="45"/>
      <c r="F8" s="3" t="s">
        <v>75</v>
      </c>
      <c r="G8" s="59">
        <f>Summary!B20</f>
        <v>0</v>
      </c>
      <c r="H8" s="44"/>
      <c r="I8" s="45"/>
    </row>
    <row r="9" spans="1:9" x14ac:dyDescent="0.3">
      <c r="A9" s="65" t="s">
        <v>76</v>
      </c>
      <c r="B9" s="45"/>
      <c r="C9" s="59">
        <f>Summary!B11</f>
        <v>0</v>
      </c>
      <c r="D9" s="44"/>
      <c r="E9" s="45"/>
      <c r="F9" s="3" t="s">
        <v>77</v>
      </c>
      <c r="G9" s="59">
        <f>Summary!B22</f>
        <v>0</v>
      </c>
      <c r="H9" s="44"/>
      <c r="I9" s="45"/>
    </row>
    <row r="11" spans="1:9" ht="22.05" customHeight="1" x14ac:dyDescent="0.3">
      <c r="B11" s="49" t="s">
        <v>333</v>
      </c>
      <c r="C11" s="47"/>
      <c r="D11" s="47"/>
      <c r="E11" s="47"/>
    </row>
    <row r="12" spans="1:9" ht="16.05" customHeight="1" x14ac:dyDescent="0.3">
      <c r="B12" s="4" t="s">
        <v>334</v>
      </c>
      <c r="C12" s="4" t="s">
        <v>77</v>
      </c>
      <c r="D12" s="4" t="s">
        <v>335</v>
      </c>
      <c r="E12" s="4"/>
    </row>
    <row r="13" spans="1:9" ht="15" customHeight="1" x14ac:dyDescent="0.3">
      <c r="B13" s="6" t="s">
        <v>336</v>
      </c>
      <c r="C13" s="2" t="s">
        <v>299</v>
      </c>
      <c r="D13" s="2" t="s">
        <v>337</v>
      </c>
      <c r="E13" s="30"/>
    </row>
    <row r="14" spans="1:9" ht="15" customHeight="1" x14ac:dyDescent="0.3">
      <c r="B14" s="11" t="s">
        <v>338</v>
      </c>
      <c r="C14" s="2" t="s">
        <v>299</v>
      </c>
      <c r="D14" s="2" t="s">
        <v>339</v>
      </c>
      <c r="E14" s="31"/>
    </row>
    <row r="15" spans="1:9" ht="15" customHeight="1" x14ac:dyDescent="0.3">
      <c r="B15" s="6" t="s">
        <v>340</v>
      </c>
      <c r="C15" s="2" t="s">
        <v>299</v>
      </c>
      <c r="D15" s="2" t="s">
        <v>341</v>
      </c>
      <c r="E15" s="30"/>
    </row>
    <row r="16" spans="1:9" ht="15" customHeight="1" x14ac:dyDescent="0.3">
      <c r="B16" s="11" t="s">
        <v>342</v>
      </c>
      <c r="C16" s="2" t="s">
        <v>299</v>
      </c>
      <c r="D16" s="2" t="s">
        <v>343</v>
      </c>
      <c r="E16" s="31"/>
    </row>
    <row r="17" spans="2:5" ht="15" customHeight="1" x14ac:dyDescent="0.3">
      <c r="B17" s="6" t="s">
        <v>344</v>
      </c>
      <c r="C17" s="2" t="s">
        <v>299</v>
      </c>
      <c r="D17" s="2" t="s">
        <v>343</v>
      </c>
      <c r="E17" s="30"/>
    </row>
    <row r="18" spans="2:5" ht="15" customHeight="1" x14ac:dyDescent="0.3">
      <c r="B18" s="11" t="s">
        <v>345</v>
      </c>
      <c r="C18" s="2" t="s">
        <v>299</v>
      </c>
      <c r="D18" s="2" t="s">
        <v>343</v>
      </c>
      <c r="E18" s="31"/>
    </row>
    <row r="19" spans="2:5" ht="15" customHeight="1" x14ac:dyDescent="0.3">
      <c r="B19" s="6" t="s">
        <v>346</v>
      </c>
      <c r="C19" s="2" t="s">
        <v>299</v>
      </c>
      <c r="D19" s="2" t="s">
        <v>347</v>
      </c>
      <c r="E19" s="30"/>
    </row>
    <row r="20" spans="2:5" ht="15" customHeight="1" x14ac:dyDescent="0.3">
      <c r="B20" s="11" t="s">
        <v>348</v>
      </c>
      <c r="C20" s="2" t="s">
        <v>299</v>
      </c>
      <c r="D20" s="2" t="s">
        <v>349</v>
      </c>
      <c r="E20" s="31"/>
    </row>
    <row r="21" spans="2:5" ht="15" customHeight="1" x14ac:dyDescent="0.3">
      <c r="B21" s="6" t="s">
        <v>350</v>
      </c>
      <c r="C21" s="2" t="s">
        <v>299</v>
      </c>
      <c r="D21" s="2" t="s">
        <v>343</v>
      </c>
      <c r="E21" s="30"/>
    </row>
    <row r="22" spans="2:5" ht="15" customHeight="1" x14ac:dyDescent="0.3">
      <c r="B22" s="11" t="s">
        <v>351</v>
      </c>
      <c r="C22" s="2" t="s">
        <v>299</v>
      </c>
      <c r="D22" s="2" t="s">
        <v>352</v>
      </c>
      <c r="E22" s="31"/>
    </row>
    <row r="23" spans="2:5" ht="15" customHeight="1" x14ac:dyDescent="0.3">
      <c r="B23" s="6" t="s">
        <v>353</v>
      </c>
      <c r="C23" s="2" t="s">
        <v>299</v>
      </c>
      <c r="D23" s="2" t="s">
        <v>354</v>
      </c>
      <c r="E23" s="30"/>
    </row>
    <row r="24" spans="2:5" ht="15" customHeight="1" x14ac:dyDescent="0.3">
      <c r="B24" s="11" t="s">
        <v>355</v>
      </c>
      <c r="C24" s="2" t="s">
        <v>299</v>
      </c>
      <c r="D24" s="2" t="s">
        <v>356</v>
      </c>
      <c r="E24" s="31"/>
    </row>
    <row r="26" spans="2:5" ht="16.05" customHeight="1" x14ac:dyDescent="0.3">
      <c r="B26" s="64" t="s">
        <v>357</v>
      </c>
      <c r="C26" s="51"/>
      <c r="D26" s="51"/>
      <c r="E26" s="52"/>
    </row>
    <row r="27" spans="2:5" ht="15" customHeight="1" x14ac:dyDescent="0.3">
      <c r="B27" s="57" t="s">
        <v>358</v>
      </c>
      <c r="C27" s="45"/>
      <c r="D27" s="35" t="s">
        <v>359</v>
      </c>
      <c r="E27" s="30"/>
    </row>
    <row r="28" spans="2:5" ht="15" customHeight="1" x14ac:dyDescent="0.3">
      <c r="B28" s="60" t="s">
        <v>360</v>
      </c>
      <c r="C28" s="45"/>
      <c r="D28" s="35" t="s">
        <v>359</v>
      </c>
      <c r="E28" s="31"/>
    </row>
    <row r="29" spans="2:5" ht="15" customHeight="1" x14ac:dyDescent="0.3">
      <c r="B29" s="57" t="s">
        <v>361</v>
      </c>
      <c r="C29" s="45"/>
      <c r="D29" s="35" t="s">
        <v>359</v>
      </c>
      <c r="E29" s="30"/>
    </row>
    <row r="30" spans="2:5" ht="15" customHeight="1" x14ac:dyDescent="0.3">
      <c r="B30" s="60" t="s">
        <v>362</v>
      </c>
      <c r="C30" s="45"/>
      <c r="D30" s="35" t="s">
        <v>359</v>
      </c>
      <c r="E30" s="31"/>
    </row>
    <row r="31" spans="2:5" ht="15" customHeight="1" x14ac:dyDescent="0.3">
      <c r="B31" s="57" t="s">
        <v>363</v>
      </c>
      <c r="C31" s="45"/>
      <c r="D31" s="35" t="s">
        <v>359</v>
      </c>
      <c r="E31" s="30"/>
    </row>
    <row r="32" spans="2:5" ht="15" customHeight="1" x14ac:dyDescent="0.3">
      <c r="B32" s="60" t="s">
        <v>364</v>
      </c>
      <c r="C32" s="45"/>
      <c r="D32" s="35" t="s">
        <v>359</v>
      </c>
      <c r="E32" s="31"/>
    </row>
    <row r="33" spans="2:5" ht="15" customHeight="1" x14ac:dyDescent="0.3">
      <c r="B33" s="57" t="s">
        <v>365</v>
      </c>
      <c r="C33" s="45"/>
      <c r="D33" s="35" t="s">
        <v>359</v>
      </c>
      <c r="E33" s="30"/>
    </row>
    <row r="34" spans="2:5" ht="15" customHeight="1" x14ac:dyDescent="0.3">
      <c r="B34" s="60" t="s">
        <v>366</v>
      </c>
      <c r="C34" s="45"/>
      <c r="D34" s="35" t="s">
        <v>359</v>
      </c>
      <c r="E34" s="31"/>
    </row>
    <row r="35" spans="2:5" ht="15" customHeight="1" x14ac:dyDescent="0.3">
      <c r="B35" s="57" t="s">
        <v>367</v>
      </c>
      <c r="C35" s="45"/>
      <c r="D35" s="35" t="s">
        <v>359</v>
      </c>
      <c r="E35" s="30"/>
    </row>
    <row r="36" spans="2:5" ht="15" customHeight="1" x14ac:dyDescent="0.3">
      <c r="B36" s="60" t="s">
        <v>368</v>
      </c>
      <c r="C36" s="45"/>
      <c r="D36" s="35" t="s">
        <v>359</v>
      </c>
      <c r="E36" s="31"/>
    </row>
    <row r="38" spans="2:5" ht="40.049999999999997" customHeight="1" x14ac:dyDescent="0.3">
      <c r="B38" s="67" t="s">
        <v>118</v>
      </c>
      <c r="C38" s="68"/>
      <c r="D38" s="67" t="s">
        <v>119</v>
      </c>
      <c r="E38" s="68"/>
    </row>
  </sheetData>
  <mergeCells count="31">
    <mergeCell ref="G8:I8"/>
    <mergeCell ref="B36:C36"/>
    <mergeCell ref="B32:C32"/>
    <mergeCell ref="A9:B9"/>
    <mergeCell ref="G7:I7"/>
    <mergeCell ref="B35:C35"/>
    <mergeCell ref="B38:C38"/>
    <mergeCell ref="B29:C29"/>
    <mergeCell ref="B34:C34"/>
    <mergeCell ref="B28:C28"/>
    <mergeCell ref="G9:I9"/>
    <mergeCell ref="B11:E11"/>
    <mergeCell ref="B30:C30"/>
    <mergeCell ref="B33:C33"/>
    <mergeCell ref="D38:E38"/>
    <mergeCell ref="C1:E1"/>
    <mergeCell ref="G6:I6"/>
    <mergeCell ref="C9:E9"/>
    <mergeCell ref="B31:C31"/>
    <mergeCell ref="B27:C27"/>
    <mergeCell ref="A6:B6"/>
    <mergeCell ref="C2:E2"/>
    <mergeCell ref="B26:E26"/>
    <mergeCell ref="A7:B7"/>
    <mergeCell ref="C8:E8"/>
    <mergeCell ref="C7:E7"/>
    <mergeCell ref="C3:E3"/>
    <mergeCell ref="A8:B8"/>
    <mergeCell ref="C6:E6"/>
    <mergeCell ref="A1:B4"/>
    <mergeCell ref="C4:E4"/>
  </mergeCells>
  <dataValidations count="1">
    <dataValidation type="list" allowBlank="1" sqref="D27:D36" xr:uid="{00000000-0002-0000-0500-000000000000}">
      <formula1>"Yes,No,N/A"</formula1>
    </dataValidation>
  </dataValidations>
  <printOptions horizontalCentered="1"/>
  <pageMargins left="0.4" right="0.4" top="0.75" bottom="0.6" header="0.3" footer="0.3"/>
  <pageSetup paperSize="9" fitToHeight="0" orientation="portrait"/>
  <headerFooter>
    <oddHeader>&amp;R&amp;8 &amp;8&amp;D  &amp;T</oddHeader>
    <oddFooter>&amp;L&amp;8 &amp;8NAABSA Marine Surveyors  |  surveyors@naabsa.com  |  naabsa.com&amp;R&amp;8 &amp;8Time Log  –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23"/>
  <sheetViews>
    <sheetView showGridLines="0" workbookViewId="0"/>
  </sheetViews>
  <sheetFormatPr defaultRowHeight="14.4" x14ac:dyDescent="0.3"/>
  <cols>
    <col min="1" max="1" width="38" customWidth="1"/>
    <col min="2" max="2" width="50" customWidth="1"/>
  </cols>
  <sheetData>
    <row r="1" spans="1:2" ht="16.8" x14ac:dyDescent="0.3">
      <c r="A1" s="55" t="s">
        <v>0</v>
      </c>
      <c r="B1" s="53" t="s">
        <v>1</v>
      </c>
    </row>
    <row r="2" spans="1:2" x14ac:dyDescent="0.3">
      <c r="A2" s="56"/>
      <c r="B2" s="46" t="s">
        <v>2</v>
      </c>
    </row>
    <row r="3" spans="1:2" x14ac:dyDescent="0.3">
      <c r="A3" s="56"/>
      <c r="B3" s="46" t="s">
        <v>3</v>
      </c>
    </row>
    <row r="4" spans="1:2" x14ac:dyDescent="0.3">
      <c r="A4" s="56"/>
      <c r="B4" s="46"/>
    </row>
    <row r="5" spans="1:2" ht="3" customHeight="1" x14ac:dyDescent="0.3">
      <c r="A5" s="1"/>
      <c r="B5" s="1"/>
    </row>
    <row r="6" spans="1:2" ht="22.05" customHeight="1" x14ac:dyDescent="0.3">
      <c r="A6" s="76" t="s">
        <v>369</v>
      </c>
      <c r="B6" s="47"/>
    </row>
    <row r="7" spans="1:2" ht="16.05" customHeight="1" x14ac:dyDescent="0.3">
      <c r="A7" s="38" t="s">
        <v>370</v>
      </c>
      <c r="B7" s="6" t="s">
        <v>370</v>
      </c>
    </row>
    <row r="8" spans="1:2" ht="16.05" customHeight="1" x14ac:dyDescent="0.3">
      <c r="A8" s="39" t="s">
        <v>371</v>
      </c>
      <c r="B8" s="11">
        <f>Summary!B12</f>
        <v>0</v>
      </c>
    </row>
    <row r="9" spans="1:2" ht="16.05" customHeight="1" x14ac:dyDescent="0.3">
      <c r="A9" s="38" t="s">
        <v>372</v>
      </c>
      <c r="B9" s="6">
        <f>Summary!B21</f>
        <v>0</v>
      </c>
    </row>
    <row r="10" spans="1:2" ht="16.05" customHeight="1" x14ac:dyDescent="0.3">
      <c r="A10" s="39" t="s">
        <v>373</v>
      </c>
      <c r="B10" s="11">
        <f>Summary!B13</f>
        <v>0</v>
      </c>
    </row>
    <row r="11" spans="1:2" ht="16.05" customHeight="1" x14ac:dyDescent="0.3">
      <c r="A11" s="38" t="s">
        <v>374</v>
      </c>
      <c r="B11" s="6">
        <f>Summary!B22</f>
        <v>0</v>
      </c>
    </row>
    <row r="12" spans="1:2" ht="16.05" customHeight="1" x14ac:dyDescent="0.3">
      <c r="A12" s="39" t="s">
        <v>375</v>
      </c>
      <c r="B12" s="11">
        <f>Summary!B23</f>
        <v>0</v>
      </c>
    </row>
    <row r="13" spans="1:2" ht="16.05" customHeight="1" x14ac:dyDescent="0.3">
      <c r="A13" s="38" t="s">
        <v>376</v>
      </c>
      <c r="B13" s="6">
        <f>Summary!B11</f>
        <v>0</v>
      </c>
    </row>
    <row r="14" spans="1:2" ht="16.05" customHeight="1" x14ac:dyDescent="0.3">
      <c r="A14" s="39" t="s">
        <v>377</v>
      </c>
      <c r="B14" s="11">
        <f>Summary!B15</f>
        <v>0</v>
      </c>
    </row>
    <row r="15" spans="1:2" ht="16.05" customHeight="1" x14ac:dyDescent="0.3">
      <c r="A15" s="38" t="s">
        <v>378</v>
      </c>
      <c r="B15" s="6">
        <f>Summary!B14</f>
        <v>0</v>
      </c>
    </row>
    <row r="16" spans="1:2" ht="16.05" customHeight="1" x14ac:dyDescent="0.3">
      <c r="A16" s="39" t="s">
        <v>379</v>
      </c>
      <c r="B16" s="11">
        <f>'Qtt Summary'!E13</f>
        <v>0</v>
      </c>
    </row>
    <row r="17" spans="1:2" ht="16.05" customHeight="1" x14ac:dyDescent="0.3">
      <c r="A17" s="38" t="s">
        <v>380</v>
      </c>
      <c r="B17" s="6">
        <f>'Qtt Summary'!E18</f>
        <v>0</v>
      </c>
    </row>
    <row r="18" spans="1:2" ht="16.05" customHeight="1" x14ac:dyDescent="0.3">
      <c r="A18" s="39" t="s">
        <v>381</v>
      </c>
      <c r="B18" s="11">
        <f>'Qtt Summary'!E28</f>
        <v>0</v>
      </c>
    </row>
    <row r="19" spans="1:2" ht="16.05" customHeight="1" x14ac:dyDescent="0.3">
      <c r="A19" s="38" t="s">
        <v>382</v>
      </c>
      <c r="B19" s="6" t="str">
        <f>Sludge!D15</f>
        <v>0</v>
      </c>
    </row>
    <row r="20" spans="1:2" ht="16.05" customHeight="1" x14ac:dyDescent="0.3">
      <c r="A20" s="39" t="s">
        <v>383</v>
      </c>
      <c r="B20" s="11">
        <f>Sludge!D48</f>
        <v>0</v>
      </c>
    </row>
    <row r="21" spans="1:2" ht="16.05" customHeight="1" x14ac:dyDescent="0.3">
      <c r="A21" s="38" t="s">
        <v>384</v>
      </c>
      <c r="B21" s="6" t="str">
        <f>'Vessel Ullage'!D14</f>
        <v>Sounding
(m)</v>
      </c>
    </row>
    <row r="23" spans="1:2" x14ac:dyDescent="0.3">
      <c r="A23" s="75" t="s">
        <v>385</v>
      </c>
      <c r="B23" s="47"/>
    </row>
  </sheetData>
  <mergeCells count="7">
    <mergeCell ref="B1"/>
    <mergeCell ref="B4"/>
    <mergeCell ref="B2"/>
    <mergeCell ref="A1:A4"/>
    <mergeCell ref="A23:B23"/>
    <mergeCell ref="B3"/>
    <mergeCell ref="A6:B6"/>
  </mergeCells>
  <printOptions horizontalCentered="1"/>
  <pageMargins left="0.4" right="0.4" top="0.75" bottom="0.6" header="0.3" footer="0.3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showGridLines="0" workbookViewId="0"/>
  </sheetViews>
  <sheetFormatPr defaultRowHeight="14.4" x14ac:dyDescent="0.3"/>
  <cols>
    <col min="1" max="2" width="16" customWidth="1"/>
  </cols>
  <sheetData>
    <row r="1" spans="1:2" x14ac:dyDescent="0.3">
      <c r="A1" s="40" t="s">
        <v>386</v>
      </c>
      <c r="B1" s="40" t="s">
        <v>387</v>
      </c>
    </row>
    <row r="2" spans="1:2" x14ac:dyDescent="0.3">
      <c r="A2" s="41">
        <v>0.5</v>
      </c>
      <c r="B2" s="41">
        <v>0.99775000000000003</v>
      </c>
    </row>
    <row r="3" spans="1:2" x14ac:dyDescent="0.3">
      <c r="A3" s="42">
        <v>0.51919999999999999</v>
      </c>
      <c r="B3" s="42">
        <v>0.99785000000000001</v>
      </c>
    </row>
    <row r="4" spans="1:2" x14ac:dyDescent="0.3">
      <c r="A4" s="41">
        <v>0.54220000000000002</v>
      </c>
      <c r="B4" s="41">
        <v>0.99795</v>
      </c>
    </row>
    <row r="5" spans="1:2" x14ac:dyDescent="0.3">
      <c r="A5" s="42">
        <v>0.56740000000000002</v>
      </c>
      <c r="B5" s="42">
        <v>0.99804999999999999</v>
      </c>
    </row>
    <row r="6" spans="1:2" x14ac:dyDescent="0.3">
      <c r="A6" s="41">
        <v>0.59509999999999996</v>
      </c>
      <c r="B6" s="41">
        <v>0.99814999999999998</v>
      </c>
    </row>
    <row r="7" spans="1:2" x14ac:dyDescent="0.3">
      <c r="A7" s="42">
        <v>0.62560000000000004</v>
      </c>
      <c r="B7" s="42">
        <v>0.99824999999999997</v>
      </c>
    </row>
    <row r="8" spans="1:2" x14ac:dyDescent="0.3">
      <c r="A8" s="41">
        <v>0.65939999999999999</v>
      </c>
      <c r="B8" s="41">
        <v>0.99834999999999996</v>
      </c>
    </row>
    <row r="9" spans="1:2" x14ac:dyDescent="0.3">
      <c r="A9" s="42">
        <v>0.69710000000000005</v>
      </c>
      <c r="B9" s="42">
        <v>0.99844999999999995</v>
      </c>
    </row>
    <row r="10" spans="1:2" x14ac:dyDescent="0.3">
      <c r="A10" s="41">
        <v>0.73929999999999996</v>
      </c>
      <c r="B10" s="41">
        <v>0.99855000000000005</v>
      </c>
    </row>
    <row r="11" spans="1:2" x14ac:dyDescent="0.3">
      <c r="A11" s="42">
        <v>0.78700000000000003</v>
      </c>
      <c r="B11" s="42">
        <v>0.99865000000000004</v>
      </c>
    </row>
    <row r="12" spans="1:2" x14ac:dyDescent="0.3">
      <c r="A12" s="41">
        <v>0.84119999999999995</v>
      </c>
      <c r="B12" s="41">
        <v>0.99875000000000003</v>
      </c>
    </row>
    <row r="13" spans="1:2" x14ac:dyDescent="0.3">
      <c r="A13" s="42">
        <v>0.90349999999999997</v>
      </c>
      <c r="B13" s="42">
        <v>0.99885000000000002</v>
      </c>
    </row>
    <row r="14" spans="1:2" x14ac:dyDescent="0.3">
      <c r="A14" s="41">
        <v>0.97570000000000001</v>
      </c>
      <c r="B14" s="41">
        <v>0.99895</v>
      </c>
    </row>
    <row r="15" spans="1:2" x14ac:dyDescent="0.3">
      <c r="A15" s="42">
        <v>1.0605</v>
      </c>
      <c r="B15" s="42">
        <v>0.99904999999999999</v>
      </c>
    </row>
    <row r="16" spans="1:2" x14ac:dyDescent="0.3">
      <c r="A16" s="41">
        <v>1.1000000000000001</v>
      </c>
      <c r="B16" s="41">
        <v>0.99904999999999999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Summary</vt:lpstr>
      <vt:lpstr>Qtt Summary</vt:lpstr>
      <vt:lpstr>Vessel Ullage</vt:lpstr>
      <vt:lpstr>Sludge</vt:lpstr>
      <vt:lpstr>LOG Audit</vt:lpstr>
      <vt:lpstr>Time Log</vt:lpstr>
      <vt:lpstr>MSC Telex</vt:lpstr>
      <vt:lpstr>VacuoAr</vt:lpstr>
      <vt:lpstr>'LOG Audit'!Area_de_impressao</vt:lpstr>
      <vt:lpstr>'Qtt Summary'!Area_de_impressao</vt:lpstr>
      <vt:lpstr>Sludge!Area_de_impressao</vt:lpstr>
      <vt:lpstr>'Time Log'!Area_de_impressao</vt:lpstr>
      <vt:lpstr>'Vessel Ullage'!Area_de_impressao</vt:lpstr>
      <vt:lpstr>'LOG Audit'!Titulos_de_impressao</vt:lpstr>
      <vt:lpstr>'Qtt Summary'!Titulos_de_impressao</vt:lpstr>
      <vt:lpstr>Sludge!Titulos_de_impressao</vt:lpstr>
      <vt:lpstr>'Time Log'!Titulos_de_impressao</vt:lpstr>
      <vt:lpstr>'Vessel Ullage'!Titulos_de_impressao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Paxur</cp:lastModifiedBy>
  <dcterms:created xsi:type="dcterms:W3CDTF">2026-03-18T13:14:45Z</dcterms:created>
  <dcterms:modified xsi:type="dcterms:W3CDTF">2026-03-18T17:55:08Z</dcterms:modified>
</cp:coreProperties>
</file>