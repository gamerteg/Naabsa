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gencianaabsa-my.sharepoint.com/personal/eric_naabsa_com1/Documents/Relatórios - 2026/Pendentes/Paranagua/164_2024 - CAPE KENNEDY/"/>
    </mc:Choice>
  </mc:AlternateContent>
  <xr:revisionPtr revIDLastSave="14" documentId="13_ncr:1_{CBA4669A-3B6A-42D0-97F1-2D6C81C97341}" xr6:coauthVersionLast="47" xr6:coauthVersionMax="47" xr10:uidLastSave="{FD79469C-6287-4E22-9CA4-55760106A79A}"/>
  <bookViews>
    <workbookView xWindow="0" yWindow="0" windowWidth="21795" windowHeight="12780" tabRatio="754" activeTab="1" xr2:uid="{00000000-000D-0000-FFFF-FFFF00000000}"/>
  </bookViews>
  <sheets>
    <sheet name="Vessel Ullage" sheetId="8" r:id="rId1"/>
    <sheet name="Sounding Barge" sheetId="9" r:id="rId2"/>
    <sheet name="Time Log" sheetId="10" r:id="rId3"/>
    <sheet name="Sample Report" sheetId="21" r:id="rId4"/>
    <sheet name="Letter of Protest (2)" sheetId="25" r:id="rId5"/>
    <sheet name="VacuoAr" sheetId="13" state="hidden" r:id="rId6"/>
  </sheets>
  <definedNames>
    <definedName name="_xlnm.Print_Area" localSheetId="4">'Letter of Protest (2)'!$A$1:$J$47</definedName>
    <definedName name="_xlnm.Print_Area" localSheetId="1">'Sounding Barge'!$B$1:$U$63</definedName>
    <definedName name="_xlnm.Print_Area" localSheetId="2">'Time Log'!$A$1:$L$57</definedName>
    <definedName name="_xlnm.Print_Area" localSheetId="0">'Vessel Ullage'!$B$1:$U$74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8" l="1"/>
  <c r="K43" i="8"/>
  <c r="K44" i="8"/>
  <c r="K45" i="8"/>
  <c r="K46" i="8"/>
  <c r="K47" i="8"/>
  <c r="K48" i="8"/>
  <c r="K49" i="8"/>
  <c r="K50" i="8"/>
  <c r="K51" i="8"/>
  <c r="F42" i="8"/>
  <c r="E42" i="8"/>
  <c r="D42" i="8"/>
  <c r="J12" i="9"/>
  <c r="E43" i="8"/>
  <c r="F43" i="8"/>
  <c r="D43" i="8"/>
  <c r="D11" i="9"/>
  <c r="F51" i="8"/>
  <c r="E51" i="8"/>
  <c r="D51" i="8"/>
  <c r="D44" i="8"/>
  <c r="E44" i="8"/>
  <c r="E45" i="8"/>
  <c r="F44" i="8"/>
  <c r="E36" i="9" l="1"/>
  <c r="E37" i="9"/>
  <c r="E38" i="9"/>
  <c r="E39" i="9"/>
  <c r="E40" i="9"/>
  <c r="E41" i="9"/>
  <c r="E42" i="9"/>
  <c r="E35" i="9"/>
  <c r="K20" i="9"/>
  <c r="K21" i="9" s="1"/>
  <c r="K22" i="9" s="1"/>
  <c r="K23" i="9" s="1"/>
  <c r="K24" i="9" s="1"/>
  <c r="K25" i="9" s="1"/>
  <c r="K26" i="9" s="1"/>
  <c r="K27" i="9" s="1"/>
  <c r="I42" i="8" l="1"/>
  <c r="F45" i="8"/>
  <c r="I45" i="8" s="1"/>
  <c r="F46" i="8"/>
  <c r="I46" i="8" s="1"/>
  <c r="F47" i="8"/>
  <c r="I47" i="8" s="1"/>
  <c r="F48" i="8"/>
  <c r="I48" i="8" s="1"/>
  <c r="F49" i="8"/>
  <c r="I49" i="8" s="1"/>
  <c r="F50" i="8"/>
  <c r="I50" i="8" s="1"/>
  <c r="D45" i="8"/>
  <c r="D46" i="8"/>
  <c r="D47" i="8"/>
  <c r="D48" i="8"/>
  <c r="D49" i="8"/>
  <c r="D50" i="8"/>
  <c r="I41" i="8"/>
  <c r="E46" i="8"/>
  <c r="O46" i="8" s="1"/>
  <c r="E47" i="8"/>
  <c r="O47" i="8" s="1"/>
  <c r="E48" i="8"/>
  <c r="O48" i="8" s="1"/>
  <c r="E49" i="8"/>
  <c r="O49" i="8" s="1"/>
  <c r="E50" i="8"/>
  <c r="O50" i="8" s="1"/>
  <c r="O41" i="8"/>
  <c r="P42" i="8"/>
  <c r="R45" i="8"/>
  <c r="P46" i="8"/>
  <c r="R48" i="8"/>
  <c r="R49" i="8"/>
  <c r="Q50" i="8"/>
  <c r="K28" i="9"/>
  <c r="B42" i="8"/>
  <c r="G25" i="25"/>
  <c r="D34" i="25"/>
  <c r="P43" i="8"/>
  <c r="P44" i="8"/>
  <c r="P51" i="8"/>
  <c r="K52" i="8"/>
  <c r="R52" i="8" s="1"/>
  <c r="R41" i="8"/>
  <c r="R51" i="8"/>
  <c r="B51" i="8"/>
  <c r="B52" i="8"/>
  <c r="I51" i="8"/>
  <c r="O51" i="8"/>
  <c r="O31" i="8"/>
  <c r="P31" i="8"/>
  <c r="Q31" i="8"/>
  <c r="R31" i="8"/>
  <c r="I31" i="8"/>
  <c r="P27" i="9"/>
  <c r="Q26" i="9"/>
  <c r="R25" i="9"/>
  <c r="R24" i="9"/>
  <c r="P23" i="9"/>
  <c r="K37" i="9"/>
  <c r="Q37" i="9" s="1"/>
  <c r="K36" i="9"/>
  <c r="O39" i="9"/>
  <c r="O40" i="9"/>
  <c r="I40" i="9"/>
  <c r="I39" i="9"/>
  <c r="C36" i="9"/>
  <c r="C37" i="9"/>
  <c r="C38" i="9"/>
  <c r="C39" i="9"/>
  <c r="C40" i="9"/>
  <c r="C41" i="9"/>
  <c r="C42" i="9"/>
  <c r="C35" i="9"/>
  <c r="B36" i="9"/>
  <c r="B37" i="9"/>
  <c r="B38" i="9"/>
  <c r="B39" i="9"/>
  <c r="B40" i="9"/>
  <c r="B41" i="9"/>
  <c r="B42" i="9"/>
  <c r="B35" i="9"/>
  <c r="I24" i="9"/>
  <c r="I25" i="9"/>
  <c r="O24" i="9"/>
  <c r="O25" i="9"/>
  <c r="B43" i="8"/>
  <c r="B44" i="8"/>
  <c r="B45" i="8"/>
  <c r="B46" i="8"/>
  <c r="B47" i="8"/>
  <c r="B48" i="8"/>
  <c r="B49" i="8"/>
  <c r="B50" i="8"/>
  <c r="B41" i="8"/>
  <c r="P26" i="8"/>
  <c r="Q26" i="8"/>
  <c r="R26" i="8"/>
  <c r="I26" i="8"/>
  <c r="O26" i="8"/>
  <c r="H9" i="25"/>
  <c r="G23" i="25"/>
  <c r="Y35" i="9"/>
  <c r="Y36" i="9" s="1"/>
  <c r="D19" i="21"/>
  <c r="D20" i="21"/>
  <c r="K38" i="9"/>
  <c r="P38" i="9" s="1"/>
  <c r="R42" i="8"/>
  <c r="O42" i="9"/>
  <c r="I42" i="9"/>
  <c r="O41" i="9"/>
  <c r="I41" i="9"/>
  <c r="O38" i="9"/>
  <c r="I38" i="9"/>
  <c r="O37" i="9"/>
  <c r="I37" i="9"/>
  <c r="O36" i="9"/>
  <c r="I36" i="9"/>
  <c r="O35" i="9"/>
  <c r="I35" i="9"/>
  <c r="C11" i="10"/>
  <c r="C57" i="10"/>
  <c r="E61" i="9"/>
  <c r="I45" i="25"/>
  <c r="I40" i="21"/>
  <c r="I57" i="10"/>
  <c r="Q27" i="9"/>
  <c r="O27" i="9"/>
  <c r="I27" i="9"/>
  <c r="O26" i="9"/>
  <c r="I26" i="9"/>
  <c r="Q23" i="9"/>
  <c r="O23" i="9"/>
  <c r="I23" i="9"/>
  <c r="O22" i="9"/>
  <c r="I22" i="9"/>
  <c r="O21" i="9"/>
  <c r="I21" i="9"/>
  <c r="O20" i="9"/>
  <c r="I20" i="9"/>
  <c r="B25" i="25"/>
  <c r="B23" i="25"/>
  <c r="H11" i="25"/>
  <c r="H10" i="25"/>
  <c r="C10" i="25"/>
  <c r="C8" i="25"/>
  <c r="G12" i="10"/>
  <c r="G11" i="10"/>
  <c r="G10" i="10"/>
  <c r="G9" i="10"/>
  <c r="C9" i="10"/>
  <c r="G14" i="21"/>
  <c r="G13" i="21"/>
  <c r="G12" i="21"/>
  <c r="G11" i="21"/>
  <c r="C13" i="21"/>
  <c r="C11" i="21"/>
  <c r="J11" i="9"/>
  <c r="J10" i="9"/>
  <c r="J9" i="9"/>
  <c r="H8" i="25" s="1"/>
  <c r="D9" i="9"/>
  <c r="C40" i="21"/>
  <c r="I43" i="8"/>
  <c r="I44" i="8"/>
  <c r="I52" i="8"/>
  <c r="O42" i="8"/>
  <c r="O43" i="8"/>
  <c r="O44" i="8"/>
  <c r="O45" i="8"/>
  <c r="O52" i="8"/>
  <c r="I21" i="8"/>
  <c r="I22" i="8"/>
  <c r="I23" i="8"/>
  <c r="I24" i="8"/>
  <c r="I25" i="8"/>
  <c r="I27" i="8"/>
  <c r="I28" i="8"/>
  <c r="I29" i="8"/>
  <c r="I30" i="8"/>
  <c r="I32" i="8"/>
  <c r="O21" i="8"/>
  <c r="P21" i="8"/>
  <c r="Q21" i="8"/>
  <c r="R21" i="8"/>
  <c r="O22" i="8"/>
  <c r="P22" i="8"/>
  <c r="Q22" i="8"/>
  <c r="R22" i="8"/>
  <c r="O23" i="8"/>
  <c r="P23" i="8"/>
  <c r="Q23" i="8"/>
  <c r="R23" i="8"/>
  <c r="O24" i="8"/>
  <c r="P24" i="8"/>
  <c r="Q24" i="8"/>
  <c r="R24" i="8"/>
  <c r="O25" i="8"/>
  <c r="P25" i="8"/>
  <c r="Q25" i="8"/>
  <c r="R25" i="8"/>
  <c r="O27" i="8"/>
  <c r="P27" i="8"/>
  <c r="Q27" i="8"/>
  <c r="R27" i="8"/>
  <c r="S27" i="8" s="1"/>
  <c r="O28" i="8"/>
  <c r="P28" i="8"/>
  <c r="Q28" i="8"/>
  <c r="R28" i="8"/>
  <c r="O29" i="8"/>
  <c r="P29" i="8"/>
  <c r="Q29" i="8"/>
  <c r="R29" i="8"/>
  <c r="O30" i="8"/>
  <c r="P30" i="8"/>
  <c r="Q30" i="8"/>
  <c r="R30" i="8"/>
  <c r="O32" i="8"/>
  <c r="P32" i="8"/>
  <c r="Q32" i="8"/>
  <c r="R32" i="8"/>
  <c r="J61" i="9"/>
  <c r="R21" i="9"/>
  <c r="R26" i="9"/>
  <c r="P22" i="9"/>
  <c r="R22" i="9"/>
  <c r="R23" i="9"/>
  <c r="R27" i="9"/>
  <c r="K42" i="9"/>
  <c r="P42" i="9" s="1"/>
  <c r="P25" i="9"/>
  <c r="P21" i="9"/>
  <c r="P24" i="9"/>
  <c r="Q21" i="9"/>
  <c r="P26" i="9"/>
  <c r="Q25" i="9"/>
  <c r="K40" i="9"/>
  <c r="P20" i="9"/>
  <c r="K39" i="9"/>
  <c r="Q39" i="9" s="1"/>
  <c r="S22" i="8" l="1"/>
  <c r="S31" i="8"/>
  <c r="T31" i="8" s="1"/>
  <c r="J31" i="8" s="1"/>
  <c r="L31" i="8" s="1"/>
  <c r="Q42" i="8"/>
  <c r="S42" i="8"/>
  <c r="T42" i="8" s="1"/>
  <c r="R37" i="9"/>
  <c r="P50" i="8"/>
  <c r="Q51" i="8"/>
  <c r="S51" i="8" s="1"/>
  <c r="T51" i="8" s="1"/>
  <c r="J51" i="8" s="1"/>
  <c r="L51" i="8" s="1"/>
  <c r="Q42" i="9"/>
  <c r="S27" i="9"/>
  <c r="T27" i="9" s="1"/>
  <c r="J27" i="9" s="1"/>
  <c r="L27" i="9" s="1"/>
  <c r="R42" i="9"/>
  <c r="P39" i="9"/>
  <c r="Q38" i="9"/>
  <c r="S21" i="9"/>
  <c r="T21" i="9" s="1"/>
  <c r="J21" i="9" s="1"/>
  <c r="L21" i="9" s="1"/>
  <c r="N21" i="9" s="1"/>
  <c r="Q46" i="8"/>
  <c r="Q49" i="8"/>
  <c r="P48" i="8"/>
  <c r="I43" i="9"/>
  <c r="R38" i="9"/>
  <c r="R46" i="8"/>
  <c r="S28" i="8"/>
  <c r="T28" i="8" s="1"/>
  <c r="J28" i="8" s="1"/>
  <c r="L28" i="8" s="1"/>
  <c r="N28" i="8" s="1"/>
  <c r="P45" i="8"/>
  <c r="R43" i="8"/>
  <c r="Q45" i="8"/>
  <c r="P41" i="8"/>
  <c r="T22" i="8"/>
  <c r="J22" i="8" s="1"/>
  <c r="L22" i="8" s="1"/>
  <c r="I53" i="8"/>
  <c r="Q48" i="8"/>
  <c r="S26" i="8"/>
  <c r="T26" i="8" s="1"/>
  <c r="J26" i="8" s="1"/>
  <c r="L26" i="8" s="1"/>
  <c r="M26" i="8" s="1"/>
  <c r="S25" i="8"/>
  <c r="T25" i="8" s="1"/>
  <c r="J25" i="8" s="1"/>
  <c r="L25" i="8" s="1"/>
  <c r="S24" i="8"/>
  <c r="T24" i="8" s="1"/>
  <c r="J24" i="8" s="1"/>
  <c r="L24" i="8" s="1"/>
  <c r="N24" i="8" s="1"/>
  <c r="S23" i="8"/>
  <c r="T23" i="8" s="1"/>
  <c r="J23" i="8" s="1"/>
  <c r="L23" i="8" s="1"/>
  <c r="M23" i="8" s="1"/>
  <c r="S30" i="8"/>
  <c r="T30" i="8" s="1"/>
  <c r="J30" i="8" s="1"/>
  <c r="L30" i="8" s="1"/>
  <c r="T27" i="8"/>
  <c r="J27" i="8" s="1"/>
  <c r="L27" i="8" s="1"/>
  <c r="O33" i="8"/>
  <c r="Q36" i="9"/>
  <c r="P36" i="9"/>
  <c r="R36" i="9"/>
  <c r="I28" i="9"/>
  <c r="S23" i="9"/>
  <c r="T23" i="9" s="1"/>
  <c r="J23" i="9" s="1"/>
  <c r="L23" i="9" s="1"/>
  <c r="O53" i="8"/>
  <c r="S32" i="8"/>
  <c r="T32" i="8" s="1"/>
  <c r="J32" i="8" s="1"/>
  <c r="L32" i="8" s="1"/>
  <c r="S29" i="8"/>
  <c r="T29" i="8" s="1"/>
  <c r="J29" i="8" s="1"/>
  <c r="L29" i="8" s="1"/>
  <c r="S21" i="8"/>
  <c r="T21" i="8" s="1"/>
  <c r="J21" i="8" s="1"/>
  <c r="L21" i="8" s="1"/>
  <c r="Q47" i="8"/>
  <c r="R47" i="8"/>
  <c r="R44" i="8"/>
  <c r="I33" i="8"/>
  <c r="P40" i="9"/>
  <c r="R40" i="9"/>
  <c r="R50" i="8"/>
  <c r="Q44" i="8"/>
  <c r="Q20" i="9"/>
  <c r="K35" i="9"/>
  <c r="Q41" i="8"/>
  <c r="R39" i="9"/>
  <c r="P37" i="9"/>
  <c r="R20" i="9"/>
  <c r="Q40" i="9"/>
  <c r="S25" i="9"/>
  <c r="T25" i="9" s="1"/>
  <c r="J25" i="9" s="1"/>
  <c r="L25" i="9" s="1"/>
  <c r="Q43" i="8"/>
  <c r="Q22" i="9"/>
  <c r="S22" i="9"/>
  <c r="T22" i="9" s="1"/>
  <c r="J22" i="9" s="1"/>
  <c r="L22" i="9" s="1"/>
  <c r="Q24" i="9"/>
  <c r="S24" i="9" s="1"/>
  <c r="T24" i="9" s="1"/>
  <c r="J24" i="9" s="1"/>
  <c r="L24" i="9" s="1"/>
  <c r="M24" i="9" s="1"/>
  <c r="K41" i="9"/>
  <c r="S26" i="9"/>
  <c r="T26" i="9" s="1"/>
  <c r="J26" i="9" s="1"/>
  <c r="L26" i="9" s="1"/>
  <c r="M26" i="9" s="1"/>
  <c r="P47" i="8"/>
  <c r="Q52" i="8"/>
  <c r="P52" i="8"/>
  <c r="P49" i="8"/>
  <c r="J42" i="8" l="1"/>
  <c r="L42" i="8" s="1"/>
  <c r="N51" i="8"/>
  <c r="M51" i="8"/>
  <c r="S49" i="8"/>
  <c r="T49" i="8" s="1"/>
  <c r="J49" i="8" s="1"/>
  <c r="L49" i="8" s="1"/>
  <c r="S48" i="8"/>
  <c r="T48" i="8" s="1"/>
  <c r="J48" i="8" s="1"/>
  <c r="L48" i="8" s="1"/>
  <c r="S42" i="9"/>
  <c r="T42" i="9" s="1"/>
  <c r="J42" i="9" s="1"/>
  <c r="L42" i="9" s="1"/>
  <c r="N42" i="9" s="1"/>
  <c r="S37" i="9"/>
  <c r="T37" i="9" s="1"/>
  <c r="J37" i="9" s="1"/>
  <c r="L37" i="9" s="1"/>
  <c r="M37" i="9" s="1"/>
  <c r="S39" i="9"/>
  <c r="T39" i="9" s="1"/>
  <c r="J39" i="9" s="1"/>
  <c r="L39" i="9" s="1"/>
  <c r="N39" i="9" s="1"/>
  <c r="S46" i="8"/>
  <c r="T46" i="8" s="1"/>
  <c r="J46" i="8" s="1"/>
  <c r="L46" i="8" s="1"/>
  <c r="M46" i="8" s="1"/>
  <c r="S50" i="8"/>
  <c r="T50" i="8" s="1"/>
  <c r="J50" i="8" s="1"/>
  <c r="L50" i="8" s="1"/>
  <c r="M50" i="8" s="1"/>
  <c r="S45" i="8"/>
  <c r="T45" i="8" s="1"/>
  <c r="J45" i="8" s="1"/>
  <c r="L45" i="8" s="1"/>
  <c r="S41" i="8"/>
  <c r="T41" i="8" s="1"/>
  <c r="W35" i="9"/>
  <c r="W36" i="9" s="1"/>
  <c r="W37" i="9" s="1"/>
  <c r="S38" i="9"/>
  <c r="T38" i="9" s="1"/>
  <c r="J38" i="9" s="1"/>
  <c r="L38" i="9" s="1"/>
  <c r="N38" i="9" s="1"/>
  <c r="S40" i="9"/>
  <c r="T40" i="9" s="1"/>
  <c r="J40" i="9" s="1"/>
  <c r="L40" i="9" s="1"/>
  <c r="N40" i="9" s="1"/>
  <c r="N24" i="9"/>
  <c r="M21" i="9"/>
  <c r="S36" i="9"/>
  <c r="T36" i="9" s="1"/>
  <c r="J36" i="9" s="1"/>
  <c r="L36" i="9" s="1"/>
  <c r="M36" i="9" s="1"/>
  <c r="S20" i="9"/>
  <c r="T20" i="9" s="1"/>
  <c r="J20" i="9" s="1"/>
  <c r="L20" i="9" s="1"/>
  <c r="S44" i="8"/>
  <c r="T44" i="8" s="1"/>
  <c r="J44" i="8" s="1"/>
  <c r="L44" i="8" s="1"/>
  <c r="M44" i="8" s="1"/>
  <c r="S43" i="8"/>
  <c r="T43" i="8" s="1"/>
  <c r="M28" i="8"/>
  <c r="N26" i="8"/>
  <c r="M24" i="8"/>
  <c r="S47" i="8"/>
  <c r="T47" i="8" s="1"/>
  <c r="J47" i="8" s="1"/>
  <c r="L47" i="8" s="1"/>
  <c r="N23" i="8"/>
  <c r="M22" i="9"/>
  <c r="N22" i="9"/>
  <c r="M32" i="8"/>
  <c r="N32" i="8"/>
  <c r="M25" i="9"/>
  <c r="N25" i="9"/>
  <c r="S52" i="8"/>
  <c r="T52" i="8" s="1"/>
  <c r="J52" i="8" s="1"/>
  <c r="L52" i="8" s="1"/>
  <c r="N27" i="9"/>
  <c r="M27" i="9"/>
  <c r="N23" i="9"/>
  <c r="M23" i="9"/>
  <c r="N31" i="8"/>
  <c r="M31" i="8"/>
  <c r="N21" i="8"/>
  <c r="L33" i="8"/>
  <c r="M21" i="8"/>
  <c r="N27" i="8"/>
  <c r="M27" i="8"/>
  <c r="Q41" i="9"/>
  <c r="P41" i="9"/>
  <c r="R41" i="9"/>
  <c r="M30" i="8"/>
  <c r="N30" i="8"/>
  <c r="M25" i="8"/>
  <c r="N25" i="8"/>
  <c r="N26" i="9"/>
  <c r="Q35" i="9"/>
  <c r="P35" i="9"/>
  <c r="K43" i="9"/>
  <c r="R35" i="9"/>
  <c r="N29" i="8"/>
  <c r="M29" i="8"/>
  <c r="N22" i="8"/>
  <c r="M22" i="8"/>
  <c r="M42" i="8" l="1"/>
  <c r="N42" i="8"/>
  <c r="N33" i="8"/>
  <c r="N35" i="8" s="1"/>
  <c r="J43" i="8"/>
  <c r="L43" i="8" s="1"/>
  <c r="J41" i="8"/>
  <c r="L41" i="8" s="1"/>
  <c r="N47" i="8"/>
  <c r="M47" i="8"/>
  <c r="N48" i="8"/>
  <c r="M48" i="8"/>
  <c r="N49" i="8"/>
  <c r="M49" i="8"/>
  <c r="N45" i="8"/>
  <c r="M45" i="8"/>
  <c r="N46" i="8"/>
  <c r="N37" i="9"/>
  <c r="M39" i="9"/>
  <c r="M42" i="9"/>
  <c r="N50" i="8"/>
  <c r="M38" i="9"/>
  <c r="M40" i="9"/>
  <c r="J28" i="9"/>
  <c r="N36" i="9"/>
  <c r="S41" i="9"/>
  <c r="T41" i="9" s="1"/>
  <c r="J41" i="9" s="1"/>
  <c r="L41" i="9" s="1"/>
  <c r="M41" i="9" s="1"/>
  <c r="S35" i="9"/>
  <c r="T35" i="9" s="1"/>
  <c r="J35" i="9" s="1"/>
  <c r="L35" i="9" s="1"/>
  <c r="N44" i="8"/>
  <c r="M33" i="8"/>
  <c r="L28" i="9"/>
  <c r="M20" i="9"/>
  <c r="M28" i="9" s="1"/>
  <c r="X34" i="9"/>
  <c r="N20" i="9"/>
  <c r="N28" i="9" s="1"/>
  <c r="N52" i="8"/>
  <c r="M52" i="8"/>
  <c r="M43" i="8" l="1"/>
  <c r="N43" i="8"/>
  <c r="N41" i="8"/>
  <c r="N53" i="8" s="1"/>
  <c r="M59" i="8" s="1"/>
  <c r="M60" i="8" s="1"/>
  <c r="M41" i="8"/>
  <c r="M53" i="8" s="1"/>
  <c r="L53" i="8"/>
  <c r="J43" i="9"/>
  <c r="N41" i="9"/>
  <c r="X35" i="9"/>
  <c r="X36" i="9" s="1"/>
  <c r="L43" i="9"/>
  <c r="M35" i="9"/>
  <c r="M43" i="9" s="1"/>
  <c r="N35" i="9"/>
  <c r="N43" i="9" l="1"/>
  <c r="M45" i="9" s="1"/>
  <c r="E34" i="25"/>
  <c r="F34" i="25"/>
  <c r="M61" i="8"/>
  <c r="G34" i="25" s="1"/>
</calcChain>
</file>

<file path=xl/sharedStrings.xml><?xml version="1.0" encoding="utf-8"?>
<sst xmlns="http://schemas.openxmlformats.org/spreadsheetml/2006/main" count="390" uniqueCount="186">
  <si>
    <t>MARINE SURVEYORS &amp; CONSULTANTS</t>
  </si>
  <si>
    <t>surveyors@naabsa.com | Naabsa.com | TEL: 55 13 3394-0655</t>
  </si>
  <si>
    <t>VESSEL´S SOUNDING/ULLAGE REPORT</t>
  </si>
  <si>
    <t xml:space="preserve">Name of Vessel:           </t>
  </si>
  <si>
    <t>Grade of Fuel Ordered:</t>
  </si>
  <si>
    <t>VLSFO</t>
  </si>
  <si>
    <t>Location of Survey:</t>
  </si>
  <si>
    <t xml:space="preserve">Name of Barges : </t>
  </si>
  <si>
    <t>Date of  Survey:</t>
  </si>
  <si>
    <t xml:space="preserve">Time: </t>
  </si>
  <si>
    <t>BEFORE BUNKERING</t>
  </si>
  <si>
    <t>Draft Fore:</t>
  </si>
  <si>
    <t>m</t>
  </si>
  <si>
    <t>Draft Aft:</t>
  </si>
  <si>
    <t>List:</t>
  </si>
  <si>
    <t>Trim Correction Applied:</t>
  </si>
  <si>
    <t>Yes</t>
  </si>
  <si>
    <t>METRIC TONS</t>
  </si>
  <si>
    <t>Tank nº</t>
  </si>
  <si>
    <t>Grade</t>
  </si>
  <si>
    <t>Sounding/ Ullage (m)</t>
  </si>
  <si>
    <t>Deg            °C</t>
  </si>
  <si>
    <r>
      <t>Total Vol Observed 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</si>
  <si>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t>Free Water</t>
  </si>
  <si>
    <t>Gross Obs Vol (m3)</t>
  </si>
  <si>
    <t>VCF TAB 54B</t>
  </si>
  <si>
    <r>
      <t>Density (S.G.) at 15</t>
    </r>
    <r>
      <rPr>
        <b/>
        <sz val="8"/>
        <rFont val="Calibri"/>
        <family val="2"/>
      </rPr>
      <t>° C</t>
    </r>
  </si>
  <si>
    <r>
      <t>Gross Std Vol @15</t>
    </r>
    <r>
      <rPr>
        <b/>
        <sz val="9"/>
        <rFont val="Calibri"/>
        <family val="2"/>
      </rPr>
      <t>° C</t>
    </r>
  </si>
  <si>
    <t>IN VAC</t>
  </si>
  <si>
    <t>IN AIR</t>
  </si>
  <si>
    <t>Dip</t>
  </si>
  <si>
    <t>Vol</t>
  </si>
  <si>
    <t>Nil</t>
  </si>
  <si>
    <t>HFO 2P</t>
  </si>
  <si>
    <t>HFO 2S</t>
  </si>
  <si>
    <t>GAUGE</t>
  </si>
  <si>
    <t>TOTAL</t>
  </si>
  <si>
    <t>LOG BOOK</t>
  </si>
  <si>
    <t>Dif</t>
  </si>
  <si>
    <t>AFTER BUNKERING</t>
  </si>
  <si>
    <t>Deg                  C</t>
  </si>
  <si>
    <r>
      <t>Total Vol Observed (m</t>
    </r>
    <r>
      <rPr>
        <b/>
        <vertAlign val="superscript"/>
        <sz val="10"/>
        <rFont val="Calibri"/>
        <family val="2"/>
      </rPr>
      <t>3</t>
    </r>
    <r>
      <rPr>
        <b/>
        <sz val="10"/>
        <rFont val="Calibri"/>
        <family val="2"/>
      </rPr>
      <t>)</t>
    </r>
  </si>
  <si>
    <r>
      <t>Gross Std Vol @15</t>
    </r>
    <r>
      <rPr>
        <b/>
        <sz val="10"/>
        <rFont val="Calibri"/>
        <family val="2"/>
      </rPr>
      <t>° C</t>
    </r>
  </si>
  <si>
    <t>Total</t>
  </si>
  <si>
    <t>REMARKS:</t>
  </si>
  <si>
    <t>Thermometer                 :</t>
  </si>
  <si>
    <t>TOTAL QUANTITY TRANSFERRED</t>
  </si>
  <si>
    <t>Condition of line          :</t>
  </si>
  <si>
    <t>Empty before and after bunkering</t>
  </si>
  <si>
    <t>BDN</t>
  </si>
  <si>
    <t>MT</t>
  </si>
  <si>
    <t>Remarks                         :</t>
  </si>
  <si>
    <t>SURVEYOR</t>
  </si>
  <si>
    <t>Water Detection:</t>
  </si>
  <si>
    <t>N/A</t>
  </si>
  <si>
    <t xml:space="preserve">DIF </t>
  </si>
  <si>
    <t>%</t>
  </si>
  <si>
    <t>CHIEF ENGINEER:</t>
  </si>
  <si>
    <t>SURVEYOR:</t>
  </si>
  <si>
    <t>BARGE´S SOUNDING/ULLAGE REPORT</t>
  </si>
  <si>
    <t>BEFORE TRANSFER</t>
  </si>
  <si>
    <t>FLOWMETER</t>
  </si>
  <si>
    <r>
      <t>m</t>
    </r>
    <r>
      <rPr>
        <vertAlign val="superscript"/>
        <sz val="10"/>
        <rFont val="Calibri"/>
        <family val="2"/>
      </rPr>
      <t>3</t>
    </r>
  </si>
  <si>
    <t>YES</t>
  </si>
  <si>
    <t>Sounding / Ullage (m)</t>
  </si>
  <si>
    <r>
      <t>Total Vol Observed (m</t>
    </r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>)</t>
    </r>
  </si>
  <si>
    <r>
      <t>Density (S.G.) at 15</t>
    </r>
    <r>
      <rPr>
        <sz val="10"/>
        <rFont val="Calibri"/>
        <family val="2"/>
      </rPr>
      <t>° C</t>
    </r>
  </si>
  <si>
    <r>
      <t>Gross Std Vol @15</t>
    </r>
    <r>
      <rPr>
        <sz val="10"/>
        <rFont val="Calibri"/>
        <family val="2"/>
      </rPr>
      <t>° C</t>
    </r>
  </si>
  <si>
    <t>4 BE</t>
  </si>
  <si>
    <t>AFTER RECEIVING</t>
  </si>
  <si>
    <t>Density @ 15 Deg C as per BDN - Bunker Deliver Notice</t>
  </si>
  <si>
    <t>Density @ 20 Deg C as per BDN - Bunker Deliver Notice</t>
  </si>
  <si>
    <t>TOTAL QTY TRANSFERRED - ULLAGE/SOUNDING</t>
  </si>
  <si>
    <t>TOTAL QTY TRANSFERRED - FLOWMETER</t>
  </si>
  <si>
    <t xml:space="preserve">MT </t>
  </si>
  <si>
    <t>Flowmeter type:</t>
  </si>
  <si>
    <t>Calibration Date:</t>
  </si>
  <si>
    <t>Seal:</t>
  </si>
  <si>
    <t>Thermometer Type:</t>
  </si>
  <si>
    <t>GLASS / MERCURY</t>
  </si>
  <si>
    <t>TIME LOG</t>
  </si>
  <si>
    <t>Operation</t>
  </si>
  <si>
    <t>Date</t>
  </si>
  <si>
    <t>Times</t>
  </si>
  <si>
    <t>POB for berthing</t>
  </si>
  <si>
    <t>Gangway down</t>
  </si>
  <si>
    <t>Awaiting barge</t>
  </si>
  <si>
    <t>Bunker Barge arrived</t>
  </si>
  <si>
    <t>Surveyor onboard</t>
  </si>
  <si>
    <t xml:space="preserve">Meeting between C/E and surveyor </t>
  </si>
  <si>
    <t>Initial Soundings/Ullage - Vessel</t>
  </si>
  <si>
    <t>All fast / Barge ready</t>
  </si>
  <si>
    <t>Initial Soundings/Ullage - Barge</t>
  </si>
  <si>
    <t>Hose Connected</t>
  </si>
  <si>
    <t>Bunkering operation</t>
  </si>
  <si>
    <t>Final Soundings/Ullage - Barge</t>
  </si>
  <si>
    <t>Final Soundings/Ullage - Vessel</t>
  </si>
  <si>
    <t>Calculation</t>
  </si>
  <si>
    <t>Documents signed</t>
  </si>
  <si>
    <t>Hose disconnected</t>
  </si>
  <si>
    <t>Surveyor off board</t>
  </si>
  <si>
    <t>Stoppages/Delays</t>
  </si>
  <si>
    <t>NO DELAYS</t>
  </si>
  <si>
    <t>Remark:</t>
  </si>
  <si>
    <t>SAMPLE REPORT</t>
  </si>
  <si>
    <t>SAMPLES  WERE TAKEN DURING BUNKERING</t>
  </si>
  <si>
    <t>Name of barge</t>
  </si>
  <si>
    <t>Tank number</t>
  </si>
  <si>
    <t>Sampling Method</t>
  </si>
  <si>
    <t>DRIPPING</t>
  </si>
  <si>
    <t>Sampling Point</t>
  </si>
  <si>
    <t>SHIP MANIFOLD</t>
  </si>
  <si>
    <t>Quantity of Sample</t>
  </si>
  <si>
    <t>4 x 0,5 L</t>
  </si>
  <si>
    <t>SAMPLES</t>
  </si>
  <si>
    <t>VESSEL</t>
  </si>
  <si>
    <t>BARGE</t>
  </si>
  <si>
    <t>Retained by Chife Engineer</t>
  </si>
  <si>
    <t>Retained by Supplier`s Representative</t>
  </si>
  <si>
    <t>Laboratory</t>
  </si>
  <si>
    <t>Marpol Sample</t>
  </si>
  <si>
    <t>Surveyor Samples</t>
  </si>
  <si>
    <t>Remarks(IF ANY)</t>
  </si>
  <si>
    <t xml:space="preserve"> </t>
  </si>
  <si>
    <t>To: Supplier or representative</t>
  </si>
  <si>
    <t>C/c: CHIEF ENGINEER</t>
  </si>
  <si>
    <t>LETTER OF PROTEST</t>
  </si>
  <si>
    <t>Vessel    :</t>
  </si>
  <si>
    <t>Date      :</t>
  </si>
  <si>
    <t>Location :</t>
  </si>
  <si>
    <t>Product  :</t>
  </si>
  <si>
    <t>We have been appointed as Marine Surveyors to act on behalf of our Principals and the following</t>
  </si>
  <si>
    <t>figures is brought to your attention to the differences bellow:</t>
  </si>
  <si>
    <t>difference</t>
  </si>
  <si>
    <t>NAABSA</t>
  </si>
  <si>
    <t>We hereby reserve the right of our Principals to make reference to the above at a later date.</t>
  </si>
  <si>
    <t>Signed for receipt:</t>
  </si>
  <si>
    <t>VESSEL/BARGE REPRESENTATIVE :</t>
  </si>
  <si>
    <t>STAMPED AND SIGNED</t>
  </si>
  <si>
    <t>Density at 15C</t>
  </si>
  <si>
    <t>FCW Vacuo-Ar</t>
  </si>
  <si>
    <t>Av. Ana Costa, 433 sl 184 - Santos /BR</t>
  </si>
  <si>
    <t>Lara, Ernesto</t>
  </si>
  <si>
    <t>-</t>
  </si>
  <si>
    <t>VLSFO 0.5% S</t>
  </si>
  <si>
    <t>Serv and Sett tanks - Display on Engine Control Room</t>
  </si>
  <si>
    <t>HFO SETT</t>
  </si>
  <si>
    <t>HFO 1P</t>
  </si>
  <si>
    <t>HFO 1S</t>
  </si>
  <si>
    <t>LSFO SERV</t>
  </si>
  <si>
    <t>LSFO SETT</t>
  </si>
  <si>
    <t>2BB</t>
  </si>
  <si>
    <t>3BB</t>
  </si>
  <si>
    <t>4BB</t>
  </si>
  <si>
    <t>1BE</t>
  </si>
  <si>
    <t>2BE</t>
  </si>
  <si>
    <t>3BE</t>
  </si>
  <si>
    <t>1BB</t>
  </si>
  <si>
    <t>OVERFLOW</t>
  </si>
  <si>
    <t>CAPE KENNEDY</t>
  </si>
  <si>
    <t>OMS V</t>
  </si>
  <si>
    <t>Paranagua Port - Shed 212</t>
  </si>
  <si>
    <t>April 14th, 2026</t>
  </si>
  <si>
    <t>LSHFO P</t>
  </si>
  <si>
    <t>LSHFO S</t>
  </si>
  <si>
    <t>HFO SERV</t>
  </si>
  <si>
    <t>4,96 U</t>
  </si>
  <si>
    <t>3,41 U</t>
  </si>
  <si>
    <t>1,03 U</t>
  </si>
  <si>
    <t>3,08 U</t>
  </si>
  <si>
    <t>5,03 U</t>
  </si>
  <si>
    <t>3,03 U</t>
  </si>
  <si>
    <t>6,28 U</t>
  </si>
  <si>
    <t>1,21 U</t>
  </si>
  <si>
    <t>A5510352</t>
  </si>
  <si>
    <t>A5510351</t>
  </si>
  <si>
    <t>A5510350</t>
  </si>
  <si>
    <t>A5510353</t>
  </si>
  <si>
    <t>A5510360</t>
  </si>
  <si>
    <t>5 x 0,5 L</t>
  </si>
  <si>
    <t>Geraimovych, Volodymyr</t>
  </si>
  <si>
    <t>0026339</t>
  </si>
  <si>
    <t>0026346</t>
  </si>
  <si>
    <t>0026311</t>
  </si>
  <si>
    <t>0026303</t>
  </si>
  <si>
    <t>16:50 x 22:00 h/LT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</si>
</sst>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0"/>
    <numFmt numFmtId="166" formatCode="#,##0.0000"/>
    <numFmt numFmtId="167" formatCode="0.0"/>
    <numFmt numFmtId="168" formatCode="0.0000"/>
    <numFmt numFmtId="169" formatCode="0.000"/>
    <numFmt numFmtId="170" formatCode="_(* #,##0.000_);_(* \(#,##0.000\);_(* &quot;-&quot;??_);_(@_)"/>
    <numFmt numFmtId="171" formatCode="_(* #,##0.0000_);_(* \(#,##0.0000\);_(* \-??_);_(@_)"/>
    <numFmt numFmtId="172" formatCode="dd/mm/yy;@"/>
    <numFmt numFmtId="173" formatCode="0.000_ ;[Red]\-0.000\ "/>
    <numFmt numFmtId="174" formatCode="h:mm;@"/>
    <numFmt numFmtId="175" formatCode="#,##0.000_ ;[Red]\-#,##0.000\ "/>
  </numFmts>
  <fonts count="38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vertAlign val="superscript"/>
      <sz val="10"/>
      <name val="Calibri"/>
      <family val="2"/>
    </font>
    <font>
      <b/>
      <u/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2060"/>
      <name val="GeoSlab703 Md BT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name val="Calibri"/>
      <family val="2"/>
      <scheme val="minor"/>
    </font>
    <font>
      <b/>
      <vertAlign val="superscript"/>
      <sz val="8"/>
      <name val="Calibri"/>
      <family val="2"/>
    </font>
    <font>
      <b/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1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5" fillId="0" borderId="0"/>
    <xf numFmtId="40" fontId="8" fillId="0" borderId="0" applyFill="0" applyBorder="0" applyAlignment="0" applyProtection="0"/>
    <xf numFmtId="164" fontId="1" fillId="0" borderId="0" applyFont="0" applyFill="0" applyBorder="0" applyAlignment="0" applyProtection="0"/>
  </cellStyleXfs>
  <cellXfs count="4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Protection="1">
      <protection locked="0"/>
    </xf>
    <xf numFmtId="0" fontId="2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2" fillId="0" borderId="2" xfId="0" applyFont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  <xf numFmtId="169" fontId="5" fillId="0" borderId="0" xfId="0" applyNumberFormat="1" applyFont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left"/>
      <protection hidden="1"/>
    </xf>
    <xf numFmtId="169" fontId="5" fillId="0" borderId="4" xfId="0" applyNumberFormat="1" applyFont="1" applyBorder="1" applyAlignment="1" applyProtection="1">
      <alignment horizontal="centerContinuous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17" fillId="0" borderId="0" xfId="1" applyFont="1" applyAlignment="1">
      <alignment vertical="center"/>
    </xf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8" fillId="0" borderId="3" xfId="0" applyFont="1" applyBorder="1" applyProtection="1">
      <protection hidden="1"/>
    </xf>
    <xf numFmtId="0" fontId="18" fillId="0" borderId="7" xfId="0" applyFont="1" applyBorder="1" applyProtection="1">
      <protection hidden="1"/>
    </xf>
    <xf numFmtId="0" fontId="20" fillId="0" borderId="0" xfId="0" applyFont="1" applyProtection="1">
      <protection hidden="1"/>
    </xf>
    <xf numFmtId="0" fontId="21" fillId="0" borderId="0" xfId="5" applyFont="1"/>
    <xf numFmtId="0" fontId="22" fillId="0" borderId="0" xfId="5" applyFont="1"/>
    <xf numFmtId="0" fontId="22" fillId="0" borderId="0" xfId="1" applyFont="1" applyAlignment="1">
      <alignment vertical="center"/>
    </xf>
    <xf numFmtId="0" fontId="19" fillId="0" borderId="0" xfId="0" applyFont="1" applyAlignment="1" applyProtection="1">
      <alignment horizontal="left"/>
      <protection hidden="1"/>
    </xf>
    <xf numFmtId="2" fontId="19" fillId="0" borderId="0" xfId="0" applyNumberFormat="1" applyFont="1" applyProtection="1">
      <protection hidden="1"/>
    </xf>
    <xf numFmtId="0" fontId="23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Protection="1">
      <protection hidden="1"/>
    </xf>
    <xf numFmtId="0" fontId="19" fillId="0" borderId="2" xfId="0" applyFont="1" applyBorder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167" fontId="19" fillId="0" borderId="0" xfId="0" applyNumberFormat="1" applyFont="1" applyProtection="1">
      <protection hidden="1"/>
    </xf>
    <xf numFmtId="168" fontId="19" fillId="0" borderId="0" xfId="0" applyNumberFormat="1" applyFont="1" applyProtection="1">
      <protection hidden="1"/>
    </xf>
    <xf numFmtId="2" fontId="25" fillId="0" borderId="0" xfId="0" applyNumberFormat="1" applyFont="1" applyProtection="1">
      <protection hidden="1"/>
    </xf>
    <xf numFmtId="169" fontId="19" fillId="0" borderId="0" xfId="0" applyNumberFormat="1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left"/>
      <protection hidden="1"/>
    </xf>
    <xf numFmtId="0" fontId="26" fillId="0" borderId="0" xfId="0" applyFont="1" applyProtection="1">
      <protection hidden="1"/>
    </xf>
    <xf numFmtId="0" fontId="27" fillId="0" borderId="0" xfId="0" applyFont="1" applyProtection="1">
      <protection hidden="1"/>
    </xf>
    <xf numFmtId="166" fontId="19" fillId="0" borderId="0" xfId="0" applyNumberFormat="1" applyFont="1" applyProtection="1">
      <protection hidden="1"/>
    </xf>
    <xf numFmtId="49" fontId="19" fillId="0" borderId="0" xfId="0" applyNumberFormat="1" applyFont="1" applyProtection="1">
      <protection hidden="1"/>
    </xf>
    <xf numFmtId="164" fontId="19" fillId="0" borderId="0" xfId="7" applyFont="1" applyProtection="1">
      <protection hidden="1"/>
    </xf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24" fillId="0" borderId="0" xfId="0" applyFont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19" fillId="4" borderId="0" xfId="0" applyFont="1" applyFill="1" applyProtection="1">
      <protection locked="0"/>
    </xf>
    <xf numFmtId="14" fontId="19" fillId="4" borderId="0" xfId="0" applyNumberFormat="1" applyFont="1" applyFill="1" applyProtection="1">
      <protection locked="0"/>
    </xf>
    <xf numFmtId="167" fontId="19" fillId="4" borderId="0" xfId="0" applyNumberFormat="1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/>
      <protection locked="0"/>
    </xf>
    <xf numFmtId="0" fontId="19" fillId="4" borderId="0" xfId="0" applyFont="1" applyFill="1" applyAlignment="1" applyProtection="1">
      <alignment horizontal="center"/>
      <protection locked="0"/>
    </xf>
    <xf numFmtId="0" fontId="18" fillId="5" borderId="10" xfId="0" applyFont="1" applyFill="1" applyBorder="1" applyAlignment="1" applyProtection="1">
      <alignment horizontal="center"/>
      <protection locked="0"/>
    </xf>
    <xf numFmtId="1" fontId="19" fillId="0" borderId="0" xfId="0" applyNumberFormat="1" applyFont="1" applyProtection="1">
      <protection hidden="1"/>
    </xf>
    <xf numFmtId="0" fontId="28" fillId="0" borderId="0" xfId="5" applyFont="1"/>
    <xf numFmtId="169" fontId="5" fillId="0" borderId="4" xfId="0" applyNumberFormat="1" applyFont="1" applyBorder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centerContinuous"/>
      <protection hidden="1"/>
    </xf>
    <xf numFmtId="0" fontId="19" fillId="0" borderId="10" xfId="0" applyFont="1" applyBorder="1" applyAlignment="1" applyProtection="1">
      <alignment horizontal="center"/>
      <protection locked="0" hidden="1"/>
    </xf>
    <xf numFmtId="0" fontId="29" fillId="0" borderId="0" xfId="0" applyFont="1" applyAlignment="1">
      <alignment horizontal="center" vertical="center"/>
    </xf>
    <xf numFmtId="0" fontId="21" fillId="0" borderId="0" xfId="5" applyFont="1" applyAlignment="1">
      <alignment horizontal="right"/>
    </xf>
    <xf numFmtId="0" fontId="22" fillId="0" borderId="0" xfId="1" applyFont="1" applyAlignment="1">
      <alignment horizontal="right" vertical="center"/>
    </xf>
    <xf numFmtId="169" fontId="19" fillId="0" borderId="0" xfId="0" applyNumberFormat="1" applyFont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5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9" fillId="0" borderId="14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9" fillId="0" borderId="9" xfId="0" applyFont="1" applyBorder="1" applyAlignment="1">
      <alignment horizontal="left" vertical="center" wrapText="1"/>
    </xf>
    <xf numFmtId="169" fontId="19" fillId="2" borderId="0" xfId="0" applyNumberFormat="1" applyFont="1" applyFill="1" applyAlignment="1" applyProtection="1">
      <alignment horizontal="center"/>
      <protection hidden="1"/>
    </xf>
    <xf numFmtId="169" fontId="19" fillId="2" borderId="16" xfId="0" applyNumberFormat="1" applyFont="1" applyFill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/>
      <protection locked="0"/>
    </xf>
    <xf numFmtId="0" fontId="19" fillId="0" borderId="18" xfId="0" applyFont="1" applyBorder="1" applyAlignment="1" applyProtection="1">
      <alignment horizontal="center"/>
      <protection locked="0" hidden="1"/>
    </xf>
    <xf numFmtId="169" fontId="19" fillId="2" borderId="19" xfId="0" applyNumberFormat="1" applyFont="1" applyFill="1" applyBorder="1" applyAlignment="1" applyProtection="1">
      <alignment horizontal="center"/>
      <protection hidden="1"/>
    </xf>
    <xf numFmtId="169" fontId="19" fillId="2" borderId="20" xfId="0" applyNumberFormat="1" applyFont="1" applyFill="1" applyBorder="1" applyAlignment="1" applyProtection="1">
      <alignment horizontal="center"/>
      <protection hidden="1"/>
    </xf>
    <xf numFmtId="0" fontId="19" fillId="0" borderId="18" xfId="0" applyFont="1" applyBorder="1" applyProtection="1">
      <protection locked="0"/>
    </xf>
    <xf numFmtId="0" fontId="18" fillId="0" borderId="21" xfId="0" applyFont="1" applyBorder="1" applyProtection="1">
      <protection hidden="1"/>
    </xf>
    <xf numFmtId="0" fontId="18" fillId="0" borderId="12" xfId="0" applyFont="1" applyBorder="1" applyProtection="1">
      <protection hidden="1"/>
    </xf>
    <xf numFmtId="169" fontId="19" fillId="0" borderId="6" xfId="0" applyNumberFormat="1" applyFont="1" applyBorder="1" applyAlignment="1" applyProtection="1">
      <alignment horizontal="center"/>
      <protection locked="0"/>
    </xf>
    <xf numFmtId="169" fontId="19" fillId="0" borderId="22" xfId="0" applyNumberFormat="1" applyFont="1" applyBorder="1" applyAlignment="1" applyProtection="1">
      <alignment horizontal="center"/>
      <protection locked="0"/>
    </xf>
    <xf numFmtId="168" fontId="19" fillId="2" borderId="23" xfId="0" applyNumberFormat="1" applyFont="1" applyFill="1" applyBorder="1" applyAlignment="1" applyProtection="1">
      <alignment horizontal="center"/>
      <protection hidden="1"/>
    </xf>
    <xf numFmtId="170" fontId="19" fillId="0" borderId="25" xfId="0" applyNumberFormat="1" applyFont="1" applyBorder="1" applyAlignment="1" applyProtection="1">
      <alignment horizontal="center"/>
      <protection hidden="1"/>
    </xf>
    <xf numFmtId="169" fontId="19" fillId="0" borderId="26" xfId="0" applyNumberFormat="1" applyFont="1" applyBorder="1" applyAlignment="1" applyProtection="1">
      <alignment horizontal="center"/>
      <protection hidden="1"/>
    </xf>
    <xf numFmtId="0" fontId="18" fillId="0" borderId="14" xfId="0" applyFont="1" applyBorder="1" applyAlignment="1" applyProtection="1">
      <alignment horizontal="left"/>
      <protection hidden="1"/>
    </xf>
    <xf numFmtId="0" fontId="18" fillId="0" borderId="14" xfId="0" applyFont="1" applyBorder="1" applyProtection="1">
      <protection hidden="1"/>
    </xf>
    <xf numFmtId="169" fontId="19" fillId="2" borderId="20" xfId="0" applyNumberFormat="1" applyFont="1" applyFill="1" applyBorder="1" applyProtection="1">
      <protection hidden="1"/>
    </xf>
    <xf numFmtId="169" fontId="19" fillId="2" borderId="16" xfId="0" applyNumberFormat="1" applyFont="1" applyFill="1" applyBorder="1" applyProtection="1">
      <protection hidden="1"/>
    </xf>
    <xf numFmtId="0" fontId="19" fillId="0" borderId="14" xfId="0" applyFont="1" applyBorder="1" applyProtection="1">
      <protection hidden="1"/>
    </xf>
    <xf numFmtId="49" fontId="19" fillId="0" borderId="0" xfId="0" applyNumberFormat="1" applyFont="1" applyProtection="1">
      <protection locked="0"/>
    </xf>
    <xf numFmtId="0" fontId="19" fillId="0" borderId="20" xfId="0" applyFont="1" applyBorder="1" applyAlignment="1" applyProtection="1">
      <alignment horizontal="center"/>
      <protection locked="0" hidden="1"/>
    </xf>
    <xf numFmtId="169" fontId="19" fillId="0" borderId="27" xfId="0" applyNumberFormat="1" applyFont="1" applyBorder="1" applyAlignment="1" applyProtection="1">
      <alignment horizont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30" fillId="0" borderId="0" xfId="0" applyFont="1" applyAlignment="1" applyProtection="1">
      <alignment vertical="center"/>
      <protection hidden="1"/>
    </xf>
    <xf numFmtId="0" fontId="29" fillId="0" borderId="0" xfId="0" applyFont="1" applyAlignment="1">
      <alignment vertical="center"/>
    </xf>
    <xf numFmtId="0" fontId="19" fillId="0" borderId="29" xfId="0" applyFont="1" applyBorder="1" applyAlignment="1" applyProtection="1">
      <alignment horizontal="center"/>
      <protection locked="0" hidden="1"/>
    </xf>
    <xf numFmtId="169" fontId="19" fillId="0" borderId="30" xfId="0" applyNumberFormat="1" applyFont="1" applyBorder="1" applyAlignment="1" applyProtection="1">
      <alignment horizontal="center"/>
      <protection locked="0"/>
    </xf>
    <xf numFmtId="165" fontId="19" fillId="0" borderId="26" xfId="0" applyNumberFormat="1" applyFont="1" applyBorder="1" applyAlignment="1" applyProtection="1">
      <alignment horizontal="center"/>
      <protection hidden="1"/>
    </xf>
    <xf numFmtId="0" fontId="19" fillId="0" borderId="33" xfId="0" applyFont="1" applyBorder="1" applyAlignment="1" applyProtection="1">
      <alignment horizontal="center"/>
      <protection hidden="1"/>
    </xf>
    <xf numFmtId="0" fontId="19" fillId="0" borderId="5" xfId="0" applyFont="1" applyBorder="1" applyProtection="1">
      <protection locked="0" hidden="1"/>
    </xf>
    <xf numFmtId="0" fontId="19" fillId="0" borderId="18" xfId="0" applyFont="1" applyBorder="1" applyProtection="1">
      <protection locked="0" hidden="1"/>
    </xf>
    <xf numFmtId="0" fontId="19" fillId="0" borderId="31" xfId="0" applyFont="1" applyBorder="1" applyProtection="1">
      <protection locked="0" hidden="1"/>
    </xf>
    <xf numFmtId="0" fontId="19" fillId="0" borderId="31" xfId="0" applyFont="1" applyBorder="1" applyProtection="1">
      <protection hidden="1"/>
    </xf>
    <xf numFmtId="0" fontId="19" fillId="0" borderId="0" xfId="0" applyFont="1" applyProtection="1">
      <protection locked="0" hidden="1"/>
    </xf>
    <xf numFmtId="172" fontId="19" fillId="0" borderId="0" xfId="0" applyNumberFormat="1" applyFont="1" applyAlignment="1" applyProtection="1">
      <alignment horizontal="center"/>
      <protection locked="0"/>
    </xf>
    <xf numFmtId="20" fontId="19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horizontal="left" vertical="center"/>
    </xf>
    <xf numFmtId="20" fontId="19" fillId="0" borderId="0" xfId="0" applyNumberFormat="1" applyFont="1" applyProtection="1">
      <protection locked="0"/>
    </xf>
    <xf numFmtId="14" fontId="19" fillId="0" borderId="0" xfId="0" applyNumberFormat="1" applyFont="1" applyProtection="1">
      <protection locked="0"/>
    </xf>
    <xf numFmtId="14" fontId="19" fillId="0" borderId="0" xfId="0" applyNumberFormat="1" applyFont="1" applyAlignment="1" applyProtection="1">
      <alignment horizontal="left"/>
      <protection locked="0" hidden="1"/>
    </xf>
    <xf numFmtId="0" fontId="19" fillId="0" borderId="0" xfId="0" quotePrefix="1" applyFont="1" applyProtection="1">
      <protection locked="0" hidden="1"/>
    </xf>
    <xf numFmtId="0" fontId="20" fillId="0" borderId="0" xfId="0" applyFont="1" applyAlignment="1" applyProtection="1">
      <alignment horizontal="right"/>
      <protection hidden="1"/>
    </xf>
    <xf numFmtId="0" fontId="24" fillId="0" borderId="26" xfId="0" applyFont="1" applyBorder="1" applyAlignment="1" applyProtection="1">
      <alignment horizontal="center"/>
      <protection hidden="1"/>
    </xf>
    <xf numFmtId="0" fontId="24" fillId="0" borderId="39" xfId="0" applyFont="1" applyBorder="1" applyAlignment="1" applyProtection="1">
      <alignment vertical="center"/>
      <protection hidden="1"/>
    </xf>
    <xf numFmtId="0" fontId="24" fillId="0" borderId="21" xfId="0" applyFont="1" applyBorder="1" applyAlignment="1" applyProtection="1">
      <alignment horizontal="center" vertical="center"/>
      <protection hidden="1"/>
    </xf>
    <xf numFmtId="2" fontId="18" fillId="0" borderId="7" xfId="0" applyNumberFormat="1" applyFont="1" applyBorder="1" applyAlignment="1" applyProtection="1">
      <alignment horizontal="center"/>
      <protection locked="0" hidden="1"/>
    </xf>
    <xf numFmtId="0" fontId="18" fillId="0" borderId="40" xfId="0" applyFont="1" applyBorder="1" applyAlignment="1" applyProtection="1">
      <alignment horizontal="center"/>
      <protection locked="0" hidden="1"/>
    </xf>
    <xf numFmtId="0" fontId="18" fillId="0" borderId="15" xfId="0" applyFont="1" applyBorder="1" applyAlignment="1" applyProtection="1">
      <alignment horizontal="center"/>
      <protection locked="0" hidden="1"/>
    </xf>
    <xf numFmtId="0" fontId="19" fillId="0" borderId="35" xfId="0" applyFont="1" applyBorder="1" applyAlignment="1" applyProtection="1">
      <alignment horizontal="center"/>
      <protection locked="0" hidden="1"/>
    </xf>
    <xf numFmtId="169" fontId="19" fillId="0" borderId="32" xfId="0" applyNumberFormat="1" applyFont="1" applyBorder="1" applyAlignment="1" applyProtection="1">
      <alignment horizontal="center"/>
      <protection locked="0"/>
    </xf>
    <xf numFmtId="0" fontId="19" fillId="0" borderId="17" xfId="0" applyFont="1" applyBorder="1" applyAlignment="1" applyProtection="1">
      <alignment horizontal="center"/>
      <protection locked="0" hidden="1"/>
    </xf>
    <xf numFmtId="0" fontId="31" fillId="0" borderId="0" xfId="0" applyFont="1" applyProtection="1">
      <protection hidden="1"/>
    </xf>
    <xf numFmtId="169" fontId="31" fillId="0" borderId="0" xfId="0" applyNumberFormat="1" applyFont="1" applyProtection="1">
      <protection hidden="1"/>
    </xf>
    <xf numFmtId="168" fontId="19" fillId="0" borderId="14" xfId="0" applyNumberFormat="1" applyFont="1" applyBorder="1" applyAlignment="1" applyProtection="1">
      <alignment horizontal="center"/>
      <protection hidden="1"/>
    </xf>
    <xf numFmtId="0" fontId="28" fillId="0" borderId="0" xfId="1" applyFont="1" applyAlignment="1">
      <alignment vertical="center"/>
    </xf>
    <xf numFmtId="0" fontId="30" fillId="0" borderId="0" xfId="0" applyFont="1" applyProtection="1">
      <protection hidden="1"/>
    </xf>
    <xf numFmtId="49" fontId="18" fillId="0" borderId="5" xfId="0" applyNumberFormat="1" applyFont="1" applyBorder="1" applyProtection="1">
      <protection hidden="1"/>
    </xf>
    <xf numFmtId="49" fontId="18" fillId="0" borderId="10" xfId="0" applyNumberFormat="1" applyFont="1" applyBorder="1" applyProtection="1">
      <protection hidden="1"/>
    </xf>
    <xf numFmtId="49" fontId="18" fillId="0" borderId="8" xfId="0" applyNumberFormat="1" applyFont="1" applyBorder="1" applyProtection="1">
      <protection hidden="1"/>
    </xf>
    <xf numFmtId="169" fontId="19" fillId="0" borderId="14" xfId="0" applyNumberFormat="1" applyFont="1" applyBorder="1" applyAlignment="1" applyProtection="1">
      <alignment horizontal="center"/>
      <protection hidden="1"/>
    </xf>
    <xf numFmtId="168" fontId="19" fillId="0" borderId="0" xfId="0" applyNumberFormat="1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0" xfId="0" applyFont="1" applyAlignment="1">
      <alignment horizontal="center" vertical="center"/>
    </xf>
    <xf numFmtId="173" fontId="32" fillId="0" borderId="0" xfId="0" applyNumberFormat="1" applyFont="1" applyAlignment="1">
      <alignment horizontal="center" vertical="center"/>
    </xf>
    <xf numFmtId="0" fontId="32" fillId="6" borderId="9" xfId="0" applyFont="1" applyFill="1" applyBorder="1" applyAlignment="1" applyProtection="1">
      <alignment horizontal="center"/>
      <protection hidden="1"/>
    </xf>
    <xf numFmtId="175" fontId="32" fillId="6" borderId="9" xfId="0" applyNumberFormat="1" applyFont="1" applyFill="1" applyBorder="1" applyAlignment="1" applyProtection="1">
      <alignment horizontal="center"/>
      <protection hidden="1"/>
    </xf>
    <xf numFmtId="169" fontId="19" fillId="7" borderId="43" xfId="0" applyNumberFormat="1" applyFont="1" applyFill="1" applyBorder="1" applyAlignment="1" applyProtection="1">
      <alignment horizontal="center"/>
      <protection hidden="1"/>
    </xf>
    <xf numFmtId="169" fontId="19" fillId="7" borderId="26" xfId="0" applyNumberFormat="1" applyFont="1" applyFill="1" applyBorder="1" applyAlignment="1" applyProtection="1">
      <alignment horizontal="center"/>
      <protection hidden="1"/>
    </xf>
    <xf numFmtId="169" fontId="19" fillId="7" borderId="15" xfId="0" applyNumberFormat="1" applyFont="1" applyFill="1" applyBorder="1" applyAlignment="1" applyProtection="1">
      <alignment horizontal="center"/>
      <protection hidden="1"/>
    </xf>
    <xf numFmtId="0" fontId="19" fillId="0" borderId="31" xfId="0" applyFont="1" applyBorder="1" applyProtection="1">
      <protection locked="0"/>
    </xf>
    <xf numFmtId="0" fontId="19" fillId="0" borderId="35" xfId="0" applyFont="1" applyBorder="1" applyAlignment="1" applyProtection="1">
      <alignment horizontal="center"/>
      <protection locked="0"/>
    </xf>
    <xf numFmtId="0" fontId="18" fillId="4" borderId="21" xfId="0" applyFont="1" applyFill="1" applyBorder="1" applyProtection="1">
      <protection hidden="1"/>
    </xf>
    <xf numFmtId="0" fontId="18" fillId="4" borderId="11" xfId="0" applyFont="1" applyFill="1" applyBorder="1" applyAlignment="1" applyProtection="1">
      <alignment horizontal="left"/>
      <protection hidden="1"/>
    </xf>
    <xf numFmtId="0" fontId="18" fillId="4" borderId="11" xfId="0" applyFont="1" applyFill="1" applyBorder="1" applyProtection="1">
      <protection hidden="1"/>
    </xf>
    <xf numFmtId="0" fontId="18" fillId="4" borderId="43" xfId="0" applyFont="1" applyFill="1" applyBorder="1" applyAlignment="1" applyProtection="1">
      <alignment horizontal="center"/>
      <protection locked="0"/>
    </xf>
    <xf numFmtId="0" fontId="18" fillId="7" borderId="20" xfId="0" applyFont="1" applyFill="1" applyBorder="1" applyAlignment="1" applyProtection="1">
      <alignment horizontal="center" vertical="center"/>
      <protection hidden="1"/>
    </xf>
    <xf numFmtId="0" fontId="18" fillId="7" borderId="16" xfId="0" applyFont="1" applyFill="1" applyBorder="1" applyAlignment="1" applyProtection="1">
      <alignment horizontal="center" vertical="center"/>
      <protection hidden="1"/>
    </xf>
    <xf numFmtId="169" fontId="19" fillId="7" borderId="39" xfId="0" applyNumberFormat="1" applyFont="1" applyFill="1" applyBorder="1" applyAlignment="1" applyProtection="1">
      <alignment horizontal="center"/>
      <protection hidden="1"/>
    </xf>
    <xf numFmtId="169" fontId="19" fillId="7" borderId="21" xfId="0" applyNumberFormat="1" applyFont="1" applyFill="1" applyBorder="1" applyProtection="1">
      <protection hidden="1"/>
    </xf>
    <xf numFmtId="169" fontId="19" fillId="7" borderId="39" xfId="0" applyNumberFormat="1" applyFont="1" applyFill="1" applyBorder="1" applyProtection="1">
      <protection hidden="1"/>
    </xf>
    <xf numFmtId="173" fontId="32" fillId="0" borderId="0" xfId="0" applyNumberFormat="1" applyFont="1" applyAlignment="1" applyProtection="1">
      <alignment horizontal="center" vertical="center"/>
      <protection hidden="1"/>
    </xf>
    <xf numFmtId="168" fontId="19" fillId="0" borderId="11" xfId="0" applyNumberFormat="1" applyFont="1" applyBorder="1" applyAlignment="1" applyProtection="1">
      <alignment horizontal="center"/>
      <protection hidden="1"/>
    </xf>
    <xf numFmtId="166" fontId="19" fillId="0" borderId="11" xfId="0" applyNumberFormat="1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vertical="center"/>
      <protection hidden="1"/>
    </xf>
    <xf numFmtId="167" fontId="19" fillId="8" borderId="10" xfId="0" applyNumberFormat="1" applyFont="1" applyFill="1" applyBorder="1" applyAlignment="1" applyProtection="1">
      <alignment horizontal="center"/>
      <protection locked="0"/>
    </xf>
    <xf numFmtId="169" fontId="19" fillId="8" borderId="8" xfId="0" applyNumberFormat="1" applyFont="1" applyFill="1" applyBorder="1" applyAlignment="1" applyProtection="1">
      <alignment horizontal="center"/>
      <protection locked="0"/>
    </xf>
    <xf numFmtId="169" fontId="19" fillId="8" borderId="17" xfId="0" applyNumberFormat="1" applyFont="1" applyFill="1" applyBorder="1" applyAlignment="1" applyProtection="1">
      <alignment horizontal="center"/>
      <protection locked="0"/>
    </xf>
    <xf numFmtId="167" fontId="19" fillId="8" borderId="17" xfId="0" applyNumberFormat="1" applyFont="1" applyFill="1" applyBorder="1" applyAlignment="1" applyProtection="1">
      <alignment horizontal="center"/>
      <protection locked="0"/>
    </xf>
    <xf numFmtId="169" fontId="19" fillId="8" borderId="19" xfId="0" applyNumberFormat="1" applyFont="1" applyFill="1" applyBorder="1" applyAlignment="1" applyProtection="1">
      <alignment horizontal="center"/>
      <protection locked="0"/>
    </xf>
    <xf numFmtId="168" fontId="19" fillId="8" borderId="35" xfId="0" applyNumberFormat="1" applyFont="1" applyFill="1" applyBorder="1" applyAlignment="1" applyProtection="1">
      <alignment horizontal="center"/>
      <protection hidden="1"/>
    </xf>
    <xf numFmtId="168" fontId="19" fillId="8" borderId="17" xfId="0" applyNumberFormat="1" applyFont="1" applyFill="1" applyBorder="1" applyAlignment="1" applyProtection="1">
      <alignment horizontal="center"/>
      <protection hidden="1"/>
    </xf>
    <xf numFmtId="169" fontId="5" fillId="0" borderId="16" xfId="0" applyNumberFormat="1" applyFont="1" applyBorder="1" applyAlignment="1" applyProtection="1">
      <alignment horizontal="center"/>
      <protection hidden="1"/>
    </xf>
    <xf numFmtId="169" fontId="5" fillId="0" borderId="20" xfId="0" applyNumberFormat="1" applyFont="1" applyBorder="1" applyAlignment="1" applyProtection="1">
      <alignment horizontal="center"/>
      <protection hidden="1"/>
    </xf>
    <xf numFmtId="0" fontId="24" fillId="6" borderId="13" xfId="0" applyFont="1" applyFill="1" applyBorder="1" applyProtection="1">
      <protection hidden="1"/>
    </xf>
    <xf numFmtId="0" fontId="19" fillId="6" borderId="9" xfId="0" applyFont="1" applyFill="1" applyBorder="1" applyProtection="1">
      <protection hidden="1"/>
    </xf>
    <xf numFmtId="169" fontId="19" fillId="6" borderId="9" xfId="0" applyNumberFormat="1" applyFont="1" applyFill="1" applyBorder="1" applyProtection="1">
      <protection hidden="1"/>
    </xf>
    <xf numFmtId="169" fontId="19" fillId="6" borderId="9" xfId="0" applyNumberFormat="1" applyFont="1" applyFill="1" applyBorder="1" applyAlignment="1" applyProtection="1">
      <alignment horizontal="center"/>
      <protection hidden="1"/>
    </xf>
    <xf numFmtId="0" fontId="19" fillId="6" borderId="13" xfId="0" applyFont="1" applyFill="1" applyBorder="1" applyProtection="1">
      <protection hidden="1"/>
    </xf>
    <xf numFmtId="0" fontId="5" fillId="0" borderId="9" xfId="0" applyFont="1" applyBorder="1" applyProtection="1">
      <protection hidden="1"/>
    </xf>
    <xf numFmtId="0" fontId="5" fillId="0" borderId="9" xfId="0" applyFont="1" applyBorder="1" applyAlignment="1" applyProtection="1">
      <alignment horizontal="left"/>
      <protection hidden="1"/>
    </xf>
    <xf numFmtId="14" fontId="5" fillId="0" borderId="9" xfId="0" applyNumberFormat="1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9" fillId="0" borderId="35" xfId="0" applyFont="1" applyBorder="1" applyAlignment="1" applyProtection="1">
      <alignment horizontal="center"/>
      <protection hidden="1"/>
    </xf>
    <xf numFmtId="0" fontId="31" fillId="0" borderId="0" xfId="0" applyFont="1" applyProtection="1">
      <protection locked="0"/>
    </xf>
    <xf numFmtId="0" fontId="18" fillId="7" borderId="74" xfId="0" applyFont="1" applyFill="1" applyBorder="1" applyAlignment="1" applyProtection="1">
      <alignment horizontal="center" vertical="center"/>
      <protection hidden="1"/>
    </xf>
    <xf numFmtId="0" fontId="18" fillId="7" borderId="75" xfId="0" applyFont="1" applyFill="1" applyBorder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/>
      <protection hidden="1"/>
    </xf>
    <xf numFmtId="0" fontId="18" fillId="0" borderId="33" xfId="0" applyFont="1" applyBorder="1" applyAlignment="1" applyProtection="1">
      <alignment horizontal="center"/>
      <protection hidden="1"/>
    </xf>
    <xf numFmtId="174" fontId="19" fillId="0" borderId="10" xfId="0" applyNumberFormat="1" applyFont="1" applyBorder="1" applyAlignment="1" applyProtection="1">
      <alignment horizontal="center"/>
      <protection locked="0"/>
    </xf>
    <xf numFmtId="0" fontId="18" fillId="0" borderId="33" xfId="0" applyFont="1" applyBorder="1" applyProtection="1">
      <protection hidden="1"/>
    </xf>
    <xf numFmtId="0" fontId="24" fillId="0" borderId="0" xfId="0" applyFont="1" applyProtection="1">
      <protection hidden="1"/>
    </xf>
    <xf numFmtId="0" fontId="33" fillId="0" borderId="0" xfId="0" applyFont="1" applyProtection="1">
      <protection hidden="1"/>
    </xf>
    <xf numFmtId="169" fontId="19" fillId="4" borderId="35" xfId="0" applyNumberFormat="1" applyFont="1" applyFill="1" applyBorder="1" applyAlignment="1" applyProtection="1">
      <alignment horizontal="center"/>
      <protection locked="0"/>
    </xf>
    <xf numFmtId="169" fontId="19" fillId="4" borderId="10" xfId="0" applyNumberFormat="1" applyFont="1" applyFill="1" applyBorder="1" applyAlignment="1" applyProtection="1">
      <alignment horizontal="center"/>
      <protection locked="0"/>
    </xf>
    <xf numFmtId="172" fontId="19" fillId="4" borderId="10" xfId="0" applyNumberFormat="1" applyFont="1" applyFill="1" applyBorder="1" applyAlignment="1" applyProtection="1">
      <alignment horizontal="center"/>
      <protection locked="0"/>
    </xf>
    <xf numFmtId="174" fontId="19" fillId="9" borderId="10" xfId="0" applyNumberFormat="1" applyFont="1" applyFill="1" applyBorder="1" applyAlignment="1" applyProtection="1">
      <alignment horizontal="center"/>
      <protection locked="0"/>
    </xf>
    <xf numFmtId="2" fontId="19" fillId="4" borderId="26" xfId="0" applyNumberFormat="1" applyFont="1" applyFill="1" applyBorder="1" applyAlignment="1" applyProtection="1">
      <alignment horizontal="center"/>
      <protection locked="0"/>
    </xf>
    <xf numFmtId="167" fontId="19" fillId="4" borderId="35" xfId="0" applyNumberFormat="1" applyFont="1" applyFill="1" applyBorder="1" applyAlignment="1" applyProtection="1">
      <alignment horizontal="center"/>
      <protection locked="0"/>
    </xf>
    <xf numFmtId="2" fontId="19" fillId="4" borderId="12" xfId="0" applyNumberFormat="1" applyFont="1" applyFill="1" applyBorder="1" applyAlignment="1" applyProtection="1">
      <alignment horizontal="center"/>
      <protection locked="0"/>
    </xf>
    <xf numFmtId="0" fontId="19" fillId="4" borderId="0" xfId="0" applyFont="1" applyFill="1" applyProtection="1">
      <protection locked="0" hidden="1"/>
    </xf>
    <xf numFmtId="0" fontId="19" fillId="4" borderId="0" xfId="0" quotePrefix="1" applyFont="1" applyFill="1" applyAlignment="1" applyProtection="1">
      <alignment horizontal="left"/>
      <protection hidden="1"/>
    </xf>
    <xf numFmtId="0" fontId="19" fillId="4" borderId="0" xfId="0" applyFont="1" applyFill="1" applyProtection="1">
      <protection hidden="1"/>
    </xf>
    <xf numFmtId="174" fontId="19" fillId="4" borderId="10" xfId="0" applyNumberFormat="1" applyFont="1" applyFill="1" applyBorder="1" applyAlignment="1" applyProtection="1">
      <alignment horizontal="center"/>
      <protection locked="0"/>
    </xf>
    <xf numFmtId="2" fontId="18" fillId="4" borderId="47" xfId="0" applyNumberFormat="1" applyFont="1" applyFill="1" applyBorder="1" applyAlignment="1" applyProtection="1">
      <alignment horizontal="center"/>
      <protection locked="0" hidden="1"/>
    </xf>
    <xf numFmtId="2" fontId="18" fillId="4" borderId="48" xfId="0" applyNumberFormat="1" applyFont="1" applyFill="1" applyBorder="1" applyAlignment="1" applyProtection="1">
      <alignment horizontal="center"/>
      <protection locked="0" hidden="1"/>
    </xf>
    <xf numFmtId="0" fontId="19" fillId="4" borderId="35" xfId="0" applyFont="1" applyFill="1" applyBorder="1" applyAlignment="1" applyProtection="1">
      <alignment horizontal="center"/>
      <protection locked="0" hidden="1"/>
    </xf>
    <xf numFmtId="0" fontId="19" fillId="4" borderId="10" xfId="0" applyFont="1" applyFill="1" applyBorder="1" applyAlignment="1" applyProtection="1">
      <alignment horizontal="center"/>
      <protection locked="0" hidden="1"/>
    </xf>
    <xf numFmtId="0" fontId="19" fillId="4" borderId="17" xfId="0" applyFont="1" applyFill="1" applyBorder="1" applyAlignment="1" applyProtection="1">
      <alignment horizontal="center"/>
      <protection locked="0" hidden="1"/>
    </xf>
    <xf numFmtId="169" fontId="19" fillId="4" borderId="17" xfId="0" applyNumberFormat="1" applyFont="1" applyFill="1" applyBorder="1" applyAlignment="1" applyProtection="1">
      <alignment horizontal="center"/>
      <protection locked="0"/>
    </xf>
    <xf numFmtId="0" fontId="5" fillId="4" borderId="0" xfId="0" applyFont="1" applyFill="1" applyProtection="1">
      <protection hidden="1"/>
    </xf>
    <xf numFmtId="169" fontId="19" fillId="4" borderId="11" xfId="0" applyNumberFormat="1" applyFont="1" applyFill="1" applyBorder="1" applyAlignment="1" applyProtection="1">
      <alignment horizontal="center"/>
      <protection hidden="1"/>
    </xf>
    <xf numFmtId="2" fontId="19" fillId="4" borderId="43" xfId="0" applyNumberFormat="1" applyFont="1" applyFill="1" applyBorder="1" applyAlignment="1" applyProtection="1">
      <alignment horizontal="center"/>
      <protection locked="0"/>
    </xf>
    <xf numFmtId="0" fontId="19" fillId="4" borderId="0" xfId="0" applyFont="1" applyFill="1" applyAlignment="1" applyProtection="1">
      <alignment horizontal="left"/>
      <protection locked="0"/>
    </xf>
    <xf numFmtId="2" fontId="19" fillId="4" borderId="14" xfId="0" applyNumberFormat="1" applyFont="1" applyFill="1" applyBorder="1" applyAlignment="1" applyProtection="1">
      <alignment horizontal="center"/>
      <protection locked="0"/>
    </xf>
    <xf numFmtId="2" fontId="19" fillId="4" borderId="21" xfId="0" applyNumberFormat="1" applyFont="1" applyFill="1" applyBorder="1" applyAlignment="1" applyProtection="1">
      <alignment horizontal="center"/>
      <protection locked="0"/>
    </xf>
    <xf numFmtId="0" fontId="19" fillId="9" borderId="0" xfId="0" applyFont="1" applyFill="1" applyProtection="1">
      <protection hidden="1"/>
    </xf>
    <xf numFmtId="173" fontId="19" fillId="4" borderId="15" xfId="0" applyNumberFormat="1" applyFont="1" applyFill="1" applyBorder="1" applyAlignment="1" applyProtection="1">
      <alignment horizontal="center"/>
      <protection hidden="1"/>
    </xf>
    <xf numFmtId="0" fontId="19" fillId="7" borderId="14" xfId="0" applyFont="1" applyFill="1" applyBorder="1" applyAlignment="1" applyProtection="1">
      <alignment horizontal="center"/>
      <protection hidden="1"/>
    </xf>
    <xf numFmtId="169" fontId="32" fillId="4" borderId="0" xfId="0" applyNumberFormat="1" applyFont="1" applyFill="1" applyAlignment="1" applyProtection="1">
      <alignment horizontal="center" vertical="center"/>
      <protection hidden="1"/>
    </xf>
    <xf numFmtId="0" fontId="19" fillId="0" borderId="62" xfId="0" applyFont="1" applyBorder="1" applyAlignment="1" applyProtection="1">
      <alignment horizontal="center"/>
      <protection hidden="1"/>
    </xf>
    <xf numFmtId="0" fontId="19" fillId="0" borderId="63" xfId="0" applyFont="1" applyBorder="1" applyAlignment="1" applyProtection="1">
      <alignment horizontal="center"/>
      <protection hidden="1"/>
    </xf>
    <xf numFmtId="0" fontId="23" fillId="0" borderId="2" xfId="0" applyFont="1" applyBorder="1" applyAlignment="1" applyProtection="1">
      <alignment horizontal="center"/>
      <protection hidden="1"/>
    </xf>
    <xf numFmtId="0" fontId="18" fillId="0" borderId="43" xfId="0" applyFont="1" applyBorder="1" applyAlignment="1" applyProtection="1">
      <alignment horizontal="center"/>
      <protection hidden="1"/>
    </xf>
    <xf numFmtId="0" fontId="18" fillId="0" borderId="14" xfId="0" applyFont="1" applyBorder="1" applyAlignment="1" applyProtection="1">
      <alignment horizontal="center"/>
      <protection hidden="1"/>
    </xf>
    <xf numFmtId="14" fontId="19" fillId="4" borderId="0" xfId="0" applyNumberFormat="1" applyFont="1" applyFill="1" applyAlignment="1" applyProtection="1">
      <alignment horizontal="left"/>
      <protection locked="0" hidden="1"/>
    </xf>
    <xf numFmtId="0" fontId="18" fillId="0" borderId="21" xfId="0" applyFont="1" applyBorder="1" applyAlignment="1" applyProtection="1">
      <alignment horizontal="center" vertical="center"/>
      <protection hidden="1"/>
    </xf>
    <xf numFmtId="0" fontId="18" fillId="0" borderId="14" xfId="0" applyFont="1" applyBorder="1" applyAlignment="1" applyProtection="1">
      <alignment horizontal="center" vertical="center"/>
      <protection hidden="1"/>
    </xf>
    <xf numFmtId="0" fontId="18" fillId="0" borderId="33" xfId="0" applyFont="1" applyBorder="1" applyAlignment="1" applyProtection="1">
      <alignment horizontal="center" vertical="center"/>
      <protection hidden="1"/>
    </xf>
    <xf numFmtId="0" fontId="18" fillId="0" borderId="21" xfId="0" applyFont="1" applyBorder="1" applyAlignment="1" applyProtection="1">
      <alignment horizontal="center"/>
      <protection hidden="1"/>
    </xf>
    <xf numFmtId="168" fontId="19" fillId="4" borderId="8" xfId="0" applyNumberFormat="1" applyFont="1" applyFill="1" applyBorder="1" applyAlignment="1" applyProtection="1">
      <alignment horizontal="center" vertical="center"/>
      <protection locked="0" hidden="1"/>
    </xf>
    <xf numFmtId="168" fontId="19" fillId="4" borderId="9" xfId="0" applyNumberFormat="1" applyFont="1" applyFill="1" applyBorder="1" applyAlignment="1" applyProtection="1">
      <alignment horizontal="center" vertical="center"/>
      <protection locked="0" hidden="1"/>
    </xf>
    <xf numFmtId="168" fontId="19" fillId="4" borderId="13" xfId="0" applyNumberFormat="1" applyFont="1" applyFill="1" applyBorder="1" applyAlignment="1" applyProtection="1">
      <alignment horizontal="center" vertical="center"/>
      <protection locked="0" hidden="1"/>
    </xf>
    <xf numFmtId="0" fontId="18" fillId="0" borderId="0" xfId="0" applyFont="1" applyAlignment="1" applyProtection="1">
      <alignment horizontal="center" wrapText="1"/>
      <protection hidden="1"/>
    </xf>
    <xf numFmtId="0" fontId="18" fillId="0" borderId="1" xfId="0" applyFont="1" applyBorder="1" applyAlignment="1" applyProtection="1">
      <alignment horizontal="center" wrapText="1"/>
      <protection hidden="1"/>
    </xf>
    <xf numFmtId="168" fontId="19" fillId="4" borderId="8" xfId="0" applyNumberFormat="1" applyFont="1" applyFill="1" applyBorder="1" applyAlignment="1" applyProtection="1">
      <alignment horizontal="center"/>
      <protection hidden="1"/>
    </xf>
    <xf numFmtId="168" fontId="19" fillId="4" borderId="9" xfId="0" applyNumberFormat="1" applyFont="1" applyFill="1" applyBorder="1" applyAlignment="1" applyProtection="1">
      <alignment horizontal="center"/>
      <protection hidden="1"/>
    </xf>
    <xf numFmtId="168" fontId="19" fillId="4" borderId="13" xfId="0" applyNumberFormat="1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3" fontId="19" fillId="0" borderId="0" xfId="0" applyNumberFormat="1" applyFont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locked="0"/>
    </xf>
    <xf numFmtId="0" fontId="19" fillId="4" borderId="21" xfId="0" applyFont="1" applyFill="1" applyBorder="1" applyAlignment="1" applyProtection="1">
      <alignment horizontal="right"/>
      <protection hidden="1"/>
    </xf>
    <xf numFmtId="0" fontId="19" fillId="4" borderId="14" xfId="0" applyFont="1" applyFill="1" applyBorder="1" applyAlignment="1" applyProtection="1">
      <alignment horizontal="right"/>
      <protection hidden="1"/>
    </xf>
    <xf numFmtId="0" fontId="21" fillId="0" borderId="0" xfId="5" applyFont="1" applyAlignment="1">
      <alignment horizontal="right"/>
    </xf>
    <xf numFmtId="0" fontId="19" fillId="0" borderId="0" xfId="0" applyFont="1" applyAlignment="1" applyProtection="1">
      <alignment horizontal="left"/>
      <protection hidden="1"/>
    </xf>
    <xf numFmtId="0" fontId="18" fillId="0" borderId="0" xfId="0" applyFont="1" applyAlignment="1" applyProtection="1">
      <alignment horizontal="center"/>
      <protection hidden="1"/>
    </xf>
    <xf numFmtId="0" fontId="28" fillId="0" borderId="0" xfId="5" applyFont="1" applyAlignment="1">
      <alignment horizontal="right"/>
    </xf>
    <xf numFmtId="0" fontId="28" fillId="0" borderId="0" xfId="1" applyFont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19" fillId="4" borderId="21" xfId="0" applyFont="1" applyFill="1" applyBorder="1" applyAlignment="1" applyProtection="1">
      <alignment horizontal="right" vertical="center"/>
      <protection hidden="1"/>
    </xf>
    <xf numFmtId="0" fontId="19" fillId="4" borderId="14" xfId="0" applyFont="1" applyFill="1" applyBorder="1" applyAlignment="1" applyProtection="1">
      <alignment horizontal="right" vertical="center"/>
      <protection hidden="1"/>
    </xf>
    <xf numFmtId="0" fontId="18" fillId="7" borderId="51" xfId="0" applyFont="1" applyFill="1" applyBorder="1" applyAlignment="1" applyProtection="1">
      <alignment horizontal="center" vertical="center"/>
      <protection hidden="1"/>
    </xf>
    <xf numFmtId="0" fontId="18" fillId="7" borderId="52" xfId="0" applyFont="1" applyFill="1" applyBorder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center"/>
      <protection locked="0"/>
    </xf>
    <xf numFmtId="0" fontId="19" fillId="0" borderId="3" xfId="0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8" fillId="7" borderId="50" xfId="0" applyFont="1" applyFill="1" applyBorder="1" applyAlignment="1" applyProtection="1">
      <alignment horizontal="center" vertical="center"/>
      <protection hidden="1"/>
    </xf>
    <xf numFmtId="0" fontId="18" fillId="7" borderId="20" xfId="0" applyFont="1" applyFill="1" applyBorder="1" applyAlignment="1" applyProtection="1">
      <alignment horizontal="center" vertical="center"/>
      <protection hidden="1"/>
    </xf>
    <xf numFmtId="0" fontId="18" fillId="7" borderId="30" xfId="0" applyFont="1" applyFill="1" applyBorder="1" applyAlignment="1" applyProtection="1">
      <alignment horizontal="center" vertical="center"/>
      <protection hidden="1"/>
    </xf>
    <xf numFmtId="0" fontId="18" fillId="7" borderId="16" xfId="0" applyFont="1" applyFill="1" applyBorder="1" applyAlignment="1" applyProtection="1">
      <alignment horizontal="center" vertical="center"/>
      <protection hidden="1"/>
    </xf>
    <xf numFmtId="0" fontId="19" fillId="7" borderId="21" xfId="0" applyFont="1" applyFill="1" applyBorder="1" applyAlignment="1" applyProtection="1">
      <alignment horizontal="center"/>
      <protection hidden="1"/>
    </xf>
    <xf numFmtId="0" fontId="19" fillId="7" borderId="14" xfId="0" applyFont="1" applyFill="1" applyBorder="1" applyAlignment="1" applyProtection="1">
      <alignment horizontal="center"/>
      <protection hidden="1"/>
    </xf>
    <xf numFmtId="0" fontId="19" fillId="7" borderId="33" xfId="0" applyFont="1" applyFill="1" applyBorder="1" applyAlignment="1" applyProtection="1">
      <alignment horizontal="center"/>
      <protection hidden="1"/>
    </xf>
    <xf numFmtId="0" fontId="18" fillId="7" borderId="7" xfId="0" applyFont="1" applyFill="1" applyBorder="1" applyAlignment="1" applyProtection="1">
      <alignment horizontal="center" vertical="center" wrapText="1"/>
      <protection hidden="1"/>
    </xf>
    <xf numFmtId="0" fontId="18" fillId="7" borderId="59" xfId="0" applyFont="1" applyFill="1" applyBorder="1" applyAlignment="1" applyProtection="1">
      <alignment horizontal="center" vertical="center" wrapText="1"/>
      <protection hidden="1"/>
    </xf>
    <xf numFmtId="0" fontId="19" fillId="4" borderId="2" xfId="0" applyFont="1" applyFill="1" applyBorder="1" applyAlignment="1" applyProtection="1">
      <alignment horizontal="center"/>
      <protection hidden="1"/>
    </xf>
    <xf numFmtId="0" fontId="18" fillId="7" borderId="4" xfId="0" applyFont="1" applyFill="1" applyBorder="1" applyAlignment="1" applyProtection="1">
      <alignment horizontal="center" vertical="center" wrapText="1"/>
      <protection hidden="1"/>
    </xf>
    <xf numFmtId="0" fontId="18" fillId="7" borderId="76" xfId="0" applyFont="1" applyFill="1" applyBorder="1" applyAlignment="1" applyProtection="1">
      <alignment horizontal="center" vertical="center" wrapText="1"/>
      <protection hidden="1"/>
    </xf>
    <xf numFmtId="0" fontId="29" fillId="0" borderId="0" xfId="0" applyFont="1" applyAlignment="1">
      <alignment horizontal="center" vertical="center"/>
    </xf>
    <xf numFmtId="0" fontId="18" fillId="7" borderId="47" xfId="0" applyFont="1" applyFill="1" applyBorder="1" applyAlignment="1" applyProtection="1">
      <alignment horizontal="center" wrapText="1"/>
      <protection hidden="1"/>
    </xf>
    <xf numFmtId="0" fontId="18" fillId="7" borderId="49" xfId="0" applyFont="1" applyFill="1" applyBorder="1" applyAlignment="1" applyProtection="1">
      <alignment horizontal="center" wrapText="1"/>
      <protection hidden="1"/>
    </xf>
    <xf numFmtId="0" fontId="18" fillId="7" borderId="55" xfId="0" applyFont="1" applyFill="1" applyBorder="1" applyAlignment="1" applyProtection="1">
      <alignment horizontal="center" vertical="center"/>
      <protection hidden="1"/>
    </xf>
    <xf numFmtId="0" fontId="18" fillId="7" borderId="56" xfId="0" applyFont="1" applyFill="1" applyBorder="1" applyAlignment="1" applyProtection="1">
      <alignment horizontal="center" vertical="center"/>
      <protection hidden="1"/>
    </xf>
    <xf numFmtId="0" fontId="18" fillId="7" borderId="47" xfId="0" applyFont="1" applyFill="1" applyBorder="1" applyAlignment="1" applyProtection="1">
      <alignment horizontal="center" vertical="center" wrapText="1"/>
      <protection hidden="1"/>
    </xf>
    <xf numFmtId="0" fontId="18" fillId="7" borderId="49" xfId="0" applyFont="1" applyFill="1" applyBorder="1" applyAlignment="1" applyProtection="1">
      <alignment horizontal="center" vertical="center" wrapText="1"/>
      <protection hidden="1"/>
    </xf>
    <xf numFmtId="0" fontId="30" fillId="5" borderId="9" xfId="0" applyFont="1" applyFill="1" applyBorder="1" applyAlignment="1" applyProtection="1">
      <alignment horizontal="center" vertical="center"/>
      <protection hidden="1"/>
    </xf>
    <xf numFmtId="171" fontId="19" fillId="3" borderId="0" xfId="7" applyNumberFormat="1" applyFont="1" applyFill="1" applyAlignment="1" applyProtection="1">
      <alignment horizontal="right"/>
      <protection hidden="1"/>
    </xf>
    <xf numFmtId="0" fontId="18" fillId="7" borderId="72" xfId="0" applyFont="1" applyFill="1" applyBorder="1" applyAlignment="1" applyProtection="1">
      <alignment horizontal="center"/>
      <protection hidden="1"/>
    </xf>
    <xf numFmtId="0" fontId="18" fillId="7" borderId="73" xfId="0" applyFont="1" applyFill="1" applyBorder="1" applyAlignment="1" applyProtection="1">
      <alignment horizontal="center"/>
      <protection hidden="1"/>
    </xf>
    <xf numFmtId="0" fontId="18" fillId="7" borderId="31" xfId="0" applyFont="1" applyFill="1" applyBorder="1" applyAlignment="1" applyProtection="1">
      <alignment horizontal="center" vertical="center"/>
      <protection hidden="1"/>
    </xf>
    <xf numFmtId="0" fontId="26" fillId="7" borderId="51" xfId="0" applyFont="1" applyFill="1" applyBorder="1" applyAlignment="1" applyProtection="1">
      <alignment horizontal="center" vertical="center" wrapText="1"/>
      <protection hidden="1"/>
    </xf>
    <xf numFmtId="0" fontId="26" fillId="7" borderId="52" xfId="0" applyFont="1" applyFill="1" applyBorder="1" applyAlignment="1" applyProtection="1">
      <alignment horizontal="center" vertical="center" wrapText="1"/>
      <protection hidden="1"/>
    </xf>
    <xf numFmtId="0" fontId="26" fillId="7" borderId="40" xfId="0" applyFont="1" applyFill="1" applyBorder="1" applyAlignment="1" applyProtection="1">
      <alignment horizontal="center" vertical="center" wrapText="1"/>
      <protection hidden="1"/>
    </xf>
    <xf numFmtId="0" fontId="26" fillId="7" borderId="49" xfId="0" applyFont="1" applyFill="1" applyBorder="1" applyAlignment="1" applyProtection="1">
      <alignment horizontal="center" vertical="center" wrapText="1"/>
      <protection hidden="1"/>
    </xf>
    <xf numFmtId="0" fontId="18" fillId="7" borderId="28" xfId="0" applyFont="1" applyFill="1" applyBorder="1" applyAlignment="1" applyProtection="1">
      <alignment horizontal="center" vertical="center" wrapText="1"/>
      <protection hidden="1"/>
    </xf>
    <xf numFmtId="0" fontId="18" fillId="7" borderId="53" xfId="0" applyFont="1" applyFill="1" applyBorder="1" applyAlignment="1" applyProtection="1">
      <alignment horizontal="center" vertical="center" wrapText="1"/>
      <protection hidden="1"/>
    </xf>
    <xf numFmtId="0" fontId="30" fillId="7" borderId="54" xfId="0" applyFont="1" applyFill="1" applyBorder="1" applyAlignment="1" applyProtection="1">
      <alignment horizontal="center" vertical="center" wrapText="1"/>
      <protection hidden="1"/>
    </xf>
    <xf numFmtId="0" fontId="30" fillId="7" borderId="27" xfId="0" applyFont="1" applyFill="1" applyBorder="1" applyAlignment="1" applyProtection="1">
      <alignment horizontal="center" vertical="center" wrapText="1"/>
      <protection hidden="1"/>
    </xf>
    <xf numFmtId="0" fontId="18" fillId="7" borderId="57" xfId="0" applyFont="1" applyFill="1" applyBorder="1" applyAlignment="1" applyProtection="1">
      <alignment horizontal="center" vertical="center" wrapText="1"/>
      <protection hidden="1"/>
    </xf>
    <xf numFmtId="0" fontId="18" fillId="7" borderId="58" xfId="0" applyFont="1" applyFill="1" applyBorder="1" applyAlignment="1" applyProtection="1">
      <alignment horizontal="center" vertical="center" wrapText="1"/>
      <protection hidden="1"/>
    </xf>
    <xf numFmtId="0" fontId="18" fillId="7" borderId="51" xfId="0" applyFont="1" applyFill="1" applyBorder="1" applyAlignment="1" applyProtection="1">
      <alignment horizontal="center" vertical="center" wrapText="1"/>
      <protection hidden="1"/>
    </xf>
    <xf numFmtId="0" fontId="18" fillId="7" borderId="52" xfId="0" applyFont="1" applyFill="1" applyBorder="1" applyAlignment="1" applyProtection="1">
      <alignment horizontal="center" vertical="center" wrapText="1"/>
      <protection hidden="1"/>
    </xf>
    <xf numFmtId="0" fontId="30" fillId="7" borderId="51" xfId="0" applyFont="1" applyFill="1" applyBorder="1" applyAlignment="1" applyProtection="1">
      <alignment horizontal="center" vertical="center" wrapText="1"/>
      <protection hidden="1"/>
    </xf>
    <xf numFmtId="0" fontId="30" fillId="7" borderId="52" xfId="0" applyFont="1" applyFill="1" applyBorder="1" applyAlignment="1" applyProtection="1">
      <alignment horizontal="center" vertical="center" wrapText="1"/>
      <protection hidden="1"/>
    </xf>
    <xf numFmtId="0" fontId="19" fillId="0" borderId="14" xfId="0" applyFont="1" applyBorder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21" xfId="0" applyFont="1" applyBorder="1" applyAlignment="1" applyProtection="1">
      <alignment horizontal="center"/>
      <protection hidden="1"/>
    </xf>
    <xf numFmtId="0" fontId="19" fillId="0" borderId="33" xfId="0" applyFont="1" applyBorder="1" applyAlignment="1" applyProtection="1">
      <alignment horizontal="center"/>
      <protection hidden="1"/>
    </xf>
    <xf numFmtId="0" fontId="26" fillId="7" borderId="29" xfId="0" applyFont="1" applyFill="1" applyBorder="1" applyAlignment="1" applyProtection="1">
      <alignment horizontal="center" vertical="center" wrapText="1"/>
      <protection hidden="1"/>
    </xf>
    <xf numFmtId="0" fontId="26" fillId="7" borderId="34" xfId="0" applyFont="1" applyFill="1" applyBorder="1" applyAlignment="1" applyProtection="1">
      <alignment horizontal="center" vertical="center" wrapText="1"/>
      <protection hidden="1"/>
    </xf>
    <xf numFmtId="0" fontId="18" fillId="7" borderId="60" xfId="0" applyFont="1" applyFill="1" applyBorder="1" applyAlignment="1" applyProtection="1">
      <alignment horizontal="center" vertical="center"/>
      <protection hidden="1"/>
    </xf>
    <xf numFmtId="0" fontId="18" fillId="7" borderId="61" xfId="0" applyFont="1" applyFill="1" applyBorder="1" applyAlignment="1" applyProtection="1">
      <alignment horizontal="center" vertical="center"/>
      <protection hidden="1"/>
    </xf>
    <xf numFmtId="0" fontId="18" fillId="4" borderId="21" xfId="0" applyFont="1" applyFill="1" applyBorder="1" applyAlignment="1" applyProtection="1">
      <alignment horizontal="center"/>
      <protection hidden="1"/>
    </xf>
    <xf numFmtId="0" fontId="18" fillId="4" borderId="3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locked="0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2" xfId="0" applyFont="1" applyBorder="1" applyAlignment="1" applyProtection="1">
      <alignment horizontal="center"/>
      <protection hidden="1"/>
    </xf>
    <xf numFmtId="0" fontId="35" fillId="0" borderId="0" xfId="0" applyFont="1" applyAlignment="1" applyProtection="1">
      <alignment horizontal="left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9" fillId="4" borderId="8" xfId="0" applyFont="1" applyFill="1" applyBorder="1" applyAlignment="1" applyProtection="1">
      <alignment horizontal="left"/>
      <protection locked="0"/>
    </xf>
    <xf numFmtId="0" fontId="19" fillId="4" borderId="9" xfId="0" applyFont="1" applyFill="1" applyBorder="1" applyAlignment="1" applyProtection="1">
      <alignment horizontal="left"/>
      <protection locked="0"/>
    </xf>
    <xf numFmtId="0" fontId="19" fillId="4" borderId="13" xfId="0" applyFont="1" applyFill="1" applyBorder="1" applyAlignment="1" applyProtection="1">
      <alignment horizontal="left"/>
      <protection locked="0"/>
    </xf>
    <xf numFmtId="0" fontId="19" fillId="4" borderId="8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4" borderId="13" xfId="0" applyFont="1" applyFill="1" applyBorder="1" applyAlignment="1">
      <alignment horizontal="left" vertical="center"/>
    </xf>
    <xf numFmtId="0" fontId="34" fillId="0" borderId="0" xfId="0" applyFont="1" applyAlignment="1" applyProtection="1">
      <alignment horizontal="center"/>
      <protection locked="0"/>
    </xf>
    <xf numFmtId="0" fontId="18" fillId="5" borderId="10" xfId="0" applyFont="1" applyFill="1" applyBorder="1" applyAlignment="1" applyProtection="1">
      <alignment horizontal="center"/>
      <protection locked="0"/>
    </xf>
    <xf numFmtId="0" fontId="18" fillId="5" borderId="8" xfId="0" applyFont="1" applyFill="1" applyBorder="1" applyAlignment="1" applyProtection="1">
      <alignment horizontal="center"/>
      <protection locked="0"/>
    </xf>
    <xf numFmtId="0" fontId="18" fillId="5" borderId="13" xfId="0" applyFont="1" applyFill="1" applyBorder="1" applyAlignment="1" applyProtection="1">
      <alignment horizontal="center"/>
      <protection locked="0"/>
    </xf>
    <xf numFmtId="0" fontId="19" fillId="0" borderId="19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45" xfId="0" applyFont="1" applyBorder="1" applyAlignment="1">
      <alignment horizontal="left" vertical="center"/>
    </xf>
    <xf numFmtId="0" fontId="19" fillId="4" borderId="71" xfId="0" applyFont="1" applyFill="1" applyBorder="1" applyAlignment="1" applyProtection="1">
      <alignment horizontal="center"/>
      <protection hidden="1"/>
    </xf>
    <xf numFmtId="0" fontId="19" fillId="4" borderId="68" xfId="0" applyFont="1" applyFill="1" applyBorder="1" applyAlignment="1" applyProtection="1">
      <alignment horizontal="center"/>
      <protection hidden="1"/>
    </xf>
    <xf numFmtId="49" fontId="19" fillId="4" borderId="9" xfId="0" applyNumberFormat="1" applyFont="1" applyFill="1" applyBorder="1" applyAlignment="1" applyProtection="1">
      <alignment horizontal="center"/>
      <protection locked="0"/>
    </xf>
    <xf numFmtId="49" fontId="19" fillId="4" borderId="38" xfId="0" applyNumberFormat="1" applyFont="1" applyFill="1" applyBorder="1" applyAlignment="1" applyProtection="1">
      <alignment horizontal="center"/>
      <protection locked="0"/>
    </xf>
    <xf numFmtId="49" fontId="19" fillId="4" borderId="65" xfId="0" applyNumberFormat="1" applyFont="1" applyFill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/>
      <protection hidden="1"/>
    </xf>
    <xf numFmtId="0" fontId="18" fillId="0" borderId="77" xfId="0" applyFont="1" applyBorder="1" applyAlignment="1" applyProtection="1">
      <alignment horizontal="center"/>
      <protection hidden="1"/>
    </xf>
    <xf numFmtId="0" fontId="18" fillId="0" borderId="78" xfId="0" applyFont="1" applyBorder="1" applyAlignment="1" applyProtection="1">
      <alignment horizontal="center"/>
      <protection hidden="1"/>
    </xf>
    <xf numFmtId="0" fontId="18" fillId="0" borderId="79" xfId="0" applyFont="1" applyBorder="1" applyAlignment="1" applyProtection="1">
      <alignment horizontal="center"/>
      <protection hidden="1"/>
    </xf>
    <xf numFmtId="0" fontId="18" fillId="0" borderId="21" xfId="0" applyFont="1" applyBorder="1" applyAlignment="1" applyProtection="1">
      <alignment horizontal="center"/>
      <protection locked="0"/>
    </xf>
    <xf numFmtId="0" fontId="18" fillId="0" borderId="33" xfId="0" applyFont="1" applyBorder="1" applyAlignment="1" applyProtection="1">
      <alignment horizontal="center"/>
      <protection locked="0"/>
    </xf>
    <xf numFmtId="0" fontId="18" fillId="0" borderId="66" xfId="0" applyFont="1" applyBorder="1" applyAlignment="1" applyProtection="1">
      <alignment horizontal="center"/>
      <protection hidden="1"/>
    </xf>
    <xf numFmtId="0" fontId="18" fillId="0" borderId="37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4" borderId="65" xfId="0" applyFont="1" applyFill="1" applyBorder="1" applyAlignment="1" applyProtection="1">
      <alignment horizontal="center"/>
      <protection locked="0"/>
    </xf>
    <xf numFmtId="0" fontId="19" fillId="4" borderId="38" xfId="0" applyFont="1" applyFill="1" applyBorder="1" applyAlignment="1" applyProtection="1">
      <alignment horizontal="center"/>
      <protection locked="0"/>
    </xf>
    <xf numFmtId="0" fontId="19" fillId="4" borderId="69" xfId="0" applyFont="1" applyFill="1" applyBorder="1" applyAlignment="1" applyProtection="1">
      <alignment horizontal="center"/>
      <protection locked="0"/>
    </xf>
    <xf numFmtId="0" fontId="19" fillId="4" borderId="70" xfId="0" applyFont="1" applyFill="1" applyBorder="1" applyAlignment="1" applyProtection="1">
      <alignment horizontal="center"/>
      <protection locked="0"/>
    </xf>
    <xf numFmtId="0" fontId="19" fillId="4" borderId="0" xfId="0" applyFont="1" applyFill="1" applyAlignment="1" applyProtection="1">
      <alignment horizontal="center"/>
      <protection locked="0"/>
    </xf>
    <xf numFmtId="0" fontId="19" fillId="4" borderId="63" xfId="0" applyFont="1" applyFill="1" applyBorder="1" applyAlignment="1" applyProtection="1">
      <alignment horizontal="center"/>
      <protection locked="0"/>
    </xf>
    <xf numFmtId="0" fontId="18" fillId="4" borderId="67" xfId="0" applyFont="1" applyFill="1" applyBorder="1" applyAlignment="1" applyProtection="1">
      <alignment horizontal="center"/>
      <protection hidden="1"/>
    </xf>
    <xf numFmtId="0" fontId="18" fillId="4" borderId="71" xfId="0" applyFont="1" applyFill="1" applyBorder="1" applyAlignment="1" applyProtection="1">
      <alignment horizontal="center"/>
      <protection hidden="1"/>
    </xf>
    <xf numFmtId="0" fontId="18" fillId="0" borderId="65" xfId="0" applyFont="1" applyBorder="1" applyAlignment="1" applyProtection="1">
      <alignment horizontal="center"/>
      <protection hidden="1"/>
    </xf>
    <xf numFmtId="0" fontId="18" fillId="0" borderId="9" xfId="0" applyFont="1" applyBorder="1" applyAlignment="1" applyProtection="1">
      <alignment horizontal="center"/>
      <protection hidden="1"/>
    </xf>
    <xf numFmtId="0" fontId="18" fillId="0" borderId="67" xfId="0" applyFont="1" applyBorder="1" applyAlignment="1" applyProtection="1">
      <alignment horizontal="center"/>
      <protection hidden="1"/>
    </xf>
    <xf numFmtId="0" fontId="18" fillId="0" borderId="71" xfId="0" applyFont="1" applyBorder="1" applyAlignment="1" applyProtection="1">
      <alignment horizontal="center"/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18" fillId="0" borderId="48" xfId="0" applyFont="1" applyBorder="1" applyAlignment="1" applyProtection="1">
      <alignment horizontal="center"/>
      <protection hidden="1"/>
    </xf>
    <xf numFmtId="0" fontId="19" fillId="4" borderId="67" xfId="0" quotePrefix="1" applyFont="1" applyFill="1" applyBorder="1" applyAlignment="1" applyProtection="1">
      <alignment horizontal="center"/>
      <protection hidden="1"/>
    </xf>
    <xf numFmtId="0" fontId="18" fillId="0" borderId="80" xfId="0" applyFont="1" applyBorder="1" applyAlignment="1" applyProtection="1">
      <alignment horizontal="center"/>
      <protection hidden="1"/>
    </xf>
    <xf numFmtId="0" fontId="18" fillId="0" borderId="81" xfId="0" applyFont="1" applyBorder="1" applyAlignment="1" applyProtection="1">
      <alignment horizontal="center"/>
      <protection hidden="1"/>
    </xf>
    <xf numFmtId="49" fontId="18" fillId="0" borderId="64" xfId="0" applyNumberFormat="1" applyFont="1" applyBorder="1" applyAlignment="1" applyProtection="1">
      <alignment horizontal="center"/>
      <protection hidden="1"/>
    </xf>
    <xf numFmtId="49" fontId="18" fillId="0" borderId="1" xfId="0" applyNumberFormat="1" applyFont="1" applyBorder="1" applyAlignment="1" applyProtection="1">
      <alignment horizontal="center"/>
      <protection hidden="1"/>
    </xf>
    <xf numFmtId="49" fontId="18" fillId="0" borderId="65" xfId="0" applyNumberFormat="1" applyFont="1" applyBorder="1" applyAlignment="1" applyProtection="1">
      <alignment horizontal="center"/>
      <protection hidden="1"/>
    </xf>
    <xf numFmtId="49" fontId="18" fillId="0" borderId="9" xfId="0" applyNumberFormat="1" applyFont="1" applyBorder="1" applyAlignment="1" applyProtection="1">
      <alignment horizontal="center"/>
      <protection hidden="1"/>
    </xf>
    <xf numFmtId="49" fontId="19" fillId="4" borderId="1" xfId="0" quotePrefix="1" applyNumberFormat="1" applyFont="1" applyFill="1" applyBorder="1" applyAlignment="1" applyProtection="1">
      <alignment horizontal="center"/>
      <protection locked="0"/>
    </xf>
    <xf numFmtId="49" fontId="19" fillId="4" borderId="41" xfId="0" quotePrefix="1" applyNumberFormat="1" applyFont="1" applyFill="1" applyBorder="1" applyAlignment="1" applyProtection="1">
      <alignment horizontal="center"/>
      <protection locked="0"/>
    </xf>
    <xf numFmtId="0" fontId="19" fillId="0" borderId="50" xfId="0" applyFont="1" applyBorder="1" applyAlignment="1" applyProtection="1">
      <alignment horizontal="center"/>
      <protection hidden="1"/>
    </xf>
    <xf numFmtId="0" fontId="19" fillId="0" borderId="30" xfId="0" applyFont="1" applyBorder="1" applyAlignment="1" applyProtection="1">
      <alignment horizontal="center"/>
      <protection hidden="1"/>
    </xf>
    <xf numFmtId="0" fontId="19" fillId="4" borderId="67" xfId="0" applyFont="1" applyFill="1" applyBorder="1" applyAlignment="1" applyProtection="1">
      <alignment horizontal="center"/>
      <protection locked="0"/>
    </xf>
    <xf numFmtId="0" fontId="19" fillId="4" borderId="68" xfId="0" applyFont="1" applyFill="1" applyBorder="1" applyAlignment="1" applyProtection="1">
      <alignment horizontal="center"/>
      <protection locked="0"/>
    </xf>
    <xf numFmtId="1" fontId="19" fillId="4" borderId="67" xfId="0" quotePrefix="1" applyNumberFormat="1" applyFont="1" applyFill="1" applyBorder="1" applyAlignment="1" applyProtection="1">
      <alignment horizontal="center"/>
      <protection hidden="1"/>
    </xf>
    <xf numFmtId="1" fontId="19" fillId="4" borderId="68" xfId="0" applyNumberFormat="1" applyFont="1" applyFill="1" applyBorder="1" applyAlignment="1" applyProtection="1">
      <alignment horizontal="center"/>
      <protection hidden="1"/>
    </xf>
    <xf numFmtId="49" fontId="19" fillId="4" borderId="64" xfId="0" quotePrefix="1" applyNumberFormat="1" applyFont="1" applyFill="1" applyBorder="1" applyAlignment="1" applyProtection="1">
      <alignment horizontal="center"/>
      <protection locked="0"/>
    </xf>
    <xf numFmtId="169" fontId="19" fillId="0" borderId="35" xfId="0" applyNumberFormat="1" applyFont="1" applyFill="1" applyBorder="1" applyAlignment="1" applyProtection="1">
      <alignment horizontal="center"/>
      <protection locked="0"/>
    </xf>
    <xf numFmtId="167" fontId="19" fillId="0" borderId="35" xfId="0" applyNumberFormat="1" applyFont="1" applyFill="1" applyBorder="1" applyAlignment="1" applyProtection="1">
      <alignment horizontal="center"/>
      <protection locked="0"/>
    </xf>
    <xf numFmtId="169" fontId="19" fillId="0" borderId="46" xfId="0" applyNumberFormat="1" applyFont="1" applyFill="1" applyBorder="1" applyAlignment="1" applyProtection="1">
      <alignment horizontal="center"/>
      <protection locked="0"/>
    </xf>
    <xf numFmtId="0" fontId="19" fillId="0" borderId="31" xfId="0" applyFont="1" applyFill="1" applyBorder="1" applyAlignment="1" applyProtection="1">
      <alignment horizontal="center"/>
      <protection locked="0" hidden="1"/>
    </xf>
    <xf numFmtId="169" fontId="19" fillId="0" borderId="32" xfId="0" applyNumberFormat="1" applyFont="1" applyFill="1" applyBorder="1" applyAlignment="1" applyProtection="1">
      <alignment horizontal="center"/>
      <protection locked="0"/>
    </xf>
    <xf numFmtId="170" fontId="19" fillId="0" borderId="44" xfId="0" applyNumberFormat="1" applyFont="1" applyFill="1" applyBorder="1" applyAlignment="1" applyProtection="1">
      <alignment horizontal="center"/>
      <protection hidden="1"/>
    </xf>
    <xf numFmtId="168" fontId="19" fillId="0" borderId="45" xfId="0" applyNumberFormat="1" applyFont="1" applyFill="1" applyBorder="1" applyAlignment="1" applyProtection="1">
      <alignment horizontal="center"/>
      <protection hidden="1"/>
    </xf>
    <xf numFmtId="168" fontId="19" fillId="0" borderId="35" xfId="0" applyNumberFormat="1" applyFont="1" applyFill="1" applyBorder="1" applyAlignment="1" applyProtection="1">
      <alignment horizontal="center"/>
      <protection hidden="1"/>
    </xf>
    <xf numFmtId="169" fontId="19" fillId="0" borderId="46" xfId="0" applyNumberFormat="1" applyFont="1" applyFill="1" applyBorder="1" applyAlignment="1" applyProtection="1">
      <alignment horizontal="center"/>
      <protection hidden="1"/>
    </xf>
    <xf numFmtId="169" fontId="19" fillId="0" borderId="31" xfId="0" applyNumberFormat="1" applyFont="1" applyFill="1" applyBorder="1" applyAlignment="1" applyProtection="1">
      <alignment horizontal="center"/>
      <protection hidden="1"/>
    </xf>
    <xf numFmtId="169" fontId="19" fillId="0" borderId="32" xfId="0" applyNumberFormat="1" applyFont="1" applyFill="1" applyBorder="1" applyAlignment="1" applyProtection="1">
      <alignment horizontal="center"/>
      <protection hidden="1"/>
    </xf>
    <xf numFmtId="169" fontId="19" fillId="0" borderId="10" xfId="0" applyNumberFormat="1" applyFont="1" applyFill="1" applyBorder="1" applyAlignment="1" applyProtection="1">
      <alignment horizontal="center"/>
      <protection locked="0"/>
    </xf>
    <xf numFmtId="167" fontId="19" fillId="0" borderId="10" xfId="0" applyNumberFormat="1" applyFont="1" applyFill="1" applyBorder="1" applyAlignment="1" applyProtection="1">
      <alignment horizontal="center"/>
      <protection locked="0"/>
    </xf>
    <xf numFmtId="169" fontId="19" fillId="0" borderId="8" xfId="0" applyNumberFormat="1" applyFont="1" applyFill="1" applyBorder="1" applyAlignment="1" applyProtection="1">
      <alignment horizontal="center"/>
      <protection locked="0"/>
    </xf>
    <xf numFmtId="0" fontId="19" fillId="0" borderId="5" xfId="0" applyFont="1" applyFill="1" applyBorder="1" applyAlignment="1" applyProtection="1">
      <alignment horizontal="center"/>
      <protection locked="0" hidden="1"/>
    </xf>
    <xf numFmtId="169" fontId="19" fillId="0" borderId="6" xfId="0" applyNumberFormat="1" applyFont="1" applyFill="1" applyBorder="1" applyAlignment="1" applyProtection="1">
      <alignment horizontal="center"/>
      <protection locked="0"/>
    </xf>
    <xf numFmtId="170" fontId="19" fillId="0" borderId="24" xfId="0" applyNumberFormat="1" applyFont="1" applyFill="1" applyBorder="1" applyAlignment="1" applyProtection="1">
      <alignment horizontal="center"/>
      <protection hidden="1"/>
    </xf>
    <xf numFmtId="168" fontId="19" fillId="0" borderId="13" xfId="0" applyNumberFormat="1" applyFont="1" applyFill="1" applyBorder="1" applyAlignment="1" applyProtection="1">
      <alignment horizontal="center"/>
      <protection hidden="1"/>
    </xf>
    <xf numFmtId="168" fontId="19" fillId="0" borderId="10" xfId="0" applyNumberFormat="1" applyFont="1" applyFill="1" applyBorder="1" applyAlignment="1" applyProtection="1">
      <alignment horizontal="center"/>
      <protection hidden="1"/>
    </xf>
    <xf numFmtId="169" fontId="19" fillId="0" borderId="8" xfId="0" applyNumberFormat="1" applyFont="1" applyFill="1" applyBorder="1" applyAlignment="1" applyProtection="1">
      <alignment horizontal="center"/>
      <protection hidden="1"/>
    </xf>
    <xf numFmtId="169" fontId="19" fillId="0" borderId="5" xfId="0" applyNumberFormat="1" applyFont="1" applyFill="1" applyBorder="1" applyAlignment="1" applyProtection="1">
      <alignment horizontal="center"/>
      <protection hidden="1"/>
    </xf>
    <xf numFmtId="169" fontId="19" fillId="0" borderId="6" xfId="0" applyNumberFormat="1" applyFont="1" applyFill="1" applyBorder="1" applyAlignment="1" applyProtection="1">
      <alignment horizontal="center"/>
      <protection hidden="1"/>
    </xf>
    <xf numFmtId="169" fontId="19" fillId="0" borderId="17" xfId="0" applyNumberFormat="1" applyFont="1" applyFill="1" applyBorder="1" applyAlignment="1" applyProtection="1">
      <alignment horizontal="center"/>
      <protection locked="0"/>
    </xf>
    <xf numFmtId="167" fontId="19" fillId="0" borderId="17" xfId="0" applyNumberFormat="1" applyFont="1" applyFill="1" applyBorder="1" applyAlignment="1" applyProtection="1">
      <alignment horizontal="center"/>
      <protection locked="0"/>
    </xf>
    <xf numFmtId="169" fontId="19" fillId="0" borderId="19" xfId="0" applyNumberFormat="1" applyFont="1" applyFill="1" applyBorder="1" applyAlignment="1" applyProtection="1">
      <alignment horizontal="center"/>
      <protection locked="0"/>
    </xf>
    <xf numFmtId="0" fontId="19" fillId="0" borderId="18" xfId="0" applyFont="1" applyFill="1" applyBorder="1" applyAlignment="1" applyProtection="1">
      <alignment horizontal="center"/>
      <protection locked="0" hidden="1"/>
    </xf>
    <xf numFmtId="169" fontId="19" fillId="0" borderId="22" xfId="0" applyNumberFormat="1" applyFont="1" applyFill="1" applyBorder="1" applyAlignment="1" applyProtection="1">
      <alignment horizontal="center"/>
      <protection locked="0"/>
    </xf>
    <xf numFmtId="170" fontId="19" fillId="0" borderId="25" xfId="0" applyNumberFormat="1" applyFont="1" applyFill="1" applyBorder="1" applyAlignment="1" applyProtection="1">
      <alignment horizontal="center"/>
      <protection hidden="1"/>
    </xf>
    <xf numFmtId="170" fontId="19" fillId="0" borderId="41" xfId="0" applyNumberFormat="1" applyFont="1" applyFill="1" applyBorder="1" applyAlignment="1" applyProtection="1">
      <alignment horizontal="center"/>
      <protection hidden="1"/>
    </xf>
    <xf numFmtId="168" fontId="19" fillId="0" borderId="1" xfId="0" applyNumberFormat="1" applyFont="1" applyFill="1" applyBorder="1" applyAlignment="1" applyProtection="1">
      <alignment horizontal="center"/>
      <protection hidden="1"/>
    </xf>
    <xf numFmtId="168" fontId="19" fillId="0" borderId="44" xfId="0" applyNumberFormat="1" applyFont="1" applyFill="1" applyBorder="1" applyAlignment="1" applyProtection="1">
      <alignment horizontal="center"/>
      <protection hidden="1"/>
    </xf>
    <xf numFmtId="169" fontId="19" fillId="0" borderId="1" xfId="0" applyNumberFormat="1" applyFont="1" applyFill="1" applyBorder="1" applyAlignment="1" applyProtection="1">
      <alignment horizontal="center"/>
      <protection hidden="1"/>
    </xf>
    <xf numFmtId="169" fontId="19" fillId="0" borderId="31" xfId="0" applyNumberFormat="1" applyFont="1" applyFill="1" applyBorder="1" applyProtection="1">
      <protection hidden="1"/>
    </xf>
    <xf numFmtId="169" fontId="19" fillId="0" borderId="32" xfId="0" applyNumberFormat="1" applyFont="1" applyFill="1" applyBorder="1" applyProtection="1">
      <protection hidden="1"/>
    </xf>
    <xf numFmtId="170" fontId="19" fillId="0" borderId="38" xfId="0" applyNumberFormat="1" applyFont="1" applyFill="1" applyBorder="1" applyAlignment="1" applyProtection="1">
      <alignment horizontal="center"/>
      <protection hidden="1"/>
    </xf>
    <xf numFmtId="168" fontId="19" fillId="0" borderId="9" xfId="0" applyNumberFormat="1" applyFont="1" applyFill="1" applyBorder="1" applyAlignment="1" applyProtection="1">
      <alignment horizontal="center"/>
      <protection hidden="1"/>
    </xf>
    <xf numFmtId="169" fontId="19" fillId="0" borderId="9" xfId="0" applyNumberFormat="1" applyFont="1" applyFill="1" applyBorder="1" applyAlignment="1" applyProtection="1">
      <alignment horizontal="center"/>
      <protection hidden="1"/>
    </xf>
    <xf numFmtId="169" fontId="19" fillId="0" borderId="5" xfId="0" applyNumberFormat="1" applyFont="1" applyFill="1" applyBorder="1" applyProtection="1">
      <protection hidden="1"/>
    </xf>
    <xf numFmtId="169" fontId="19" fillId="0" borderId="6" xfId="0" applyNumberFormat="1" applyFont="1" applyFill="1" applyBorder="1" applyProtection="1">
      <protection hidden="1"/>
    </xf>
    <xf numFmtId="170" fontId="19" fillId="0" borderId="42" xfId="0" applyNumberFormat="1" applyFont="1" applyFill="1" applyBorder="1" applyAlignment="1" applyProtection="1">
      <alignment horizontal="center"/>
      <protection hidden="1"/>
    </xf>
    <xf numFmtId="168" fontId="19" fillId="0" borderId="2" xfId="0" applyNumberFormat="1" applyFont="1" applyFill="1" applyBorder="1" applyAlignment="1" applyProtection="1">
      <alignment horizontal="center"/>
      <protection hidden="1"/>
    </xf>
    <xf numFmtId="169" fontId="19" fillId="0" borderId="2" xfId="0" applyNumberFormat="1" applyFont="1" applyFill="1" applyBorder="1" applyAlignment="1" applyProtection="1">
      <alignment horizontal="center"/>
      <protection hidden="1"/>
    </xf>
    <xf numFmtId="169" fontId="19" fillId="0" borderId="18" xfId="0" applyNumberFormat="1" applyFont="1" applyFill="1" applyBorder="1" applyProtection="1">
      <protection hidden="1"/>
    </xf>
    <xf numFmtId="169" fontId="19" fillId="0" borderId="22" xfId="0" applyNumberFormat="1" applyFont="1" applyFill="1" applyBorder="1" applyProtection="1">
      <protection hidden="1"/>
    </xf>
    <xf numFmtId="0" fontId="19" fillId="7" borderId="55" xfId="0" applyFont="1" applyFill="1" applyBorder="1" applyAlignment="1" applyProtection="1">
      <alignment horizontal="center" vertical="center"/>
      <protection hidden="1"/>
    </xf>
    <xf numFmtId="0" fontId="19" fillId="7" borderId="51" xfId="0" applyFont="1" applyFill="1" applyBorder="1" applyAlignment="1" applyProtection="1">
      <alignment horizontal="center" vertical="center"/>
      <protection hidden="1"/>
    </xf>
    <xf numFmtId="0" fontId="19" fillId="7" borderId="51" xfId="0" applyFont="1" applyFill="1" applyBorder="1" applyAlignment="1" applyProtection="1">
      <alignment horizontal="center" vertical="center" wrapText="1"/>
      <protection hidden="1"/>
    </xf>
    <xf numFmtId="0" fontId="19" fillId="7" borderId="51" xfId="0" applyFont="1" applyFill="1" applyBorder="1" applyAlignment="1" applyProtection="1">
      <alignment horizontal="center" wrapText="1"/>
      <protection hidden="1"/>
    </xf>
    <xf numFmtId="0" fontId="19" fillId="7" borderId="54" xfId="0" applyFont="1" applyFill="1" applyBorder="1" applyAlignment="1" applyProtection="1">
      <alignment horizontal="center"/>
      <protection hidden="1"/>
    </xf>
    <xf numFmtId="0" fontId="19" fillId="7" borderId="57" xfId="0" applyFont="1" applyFill="1" applyBorder="1" applyAlignment="1" applyProtection="1">
      <alignment horizontal="center"/>
      <protection hidden="1"/>
    </xf>
    <xf numFmtId="0" fontId="19" fillId="7" borderId="47" xfId="0" applyFont="1" applyFill="1" applyBorder="1" applyAlignment="1" applyProtection="1">
      <alignment horizontal="center" vertical="center" wrapText="1"/>
      <protection hidden="1"/>
    </xf>
    <xf numFmtId="0" fontId="19" fillId="7" borderId="50" xfId="0" applyFont="1" applyFill="1" applyBorder="1" applyAlignment="1" applyProtection="1">
      <alignment horizontal="center" vertical="center"/>
      <protection hidden="1"/>
    </xf>
    <xf numFmtId="0" fontId="19" fillId="7" borderId="30" xfId="0" applyFont="1" applyFill="1" applyBorder="1" applyAlignment="1" applyProtection="1">
      <alignment horizontal="center" vertical="center"/>
      <protection hidden="1"/>
    </xf>
    <xf numFmtId="0" fontId="19" fillId="7" borderId="56" xfId="0" applyFont="1" applyFill="1" applyBorder="1" applyAlignment="1" applyProtection="1">
      <alignment horizontal="center" vertical="center"/>
      <protection hidden="1"/>
    </xf>
    <xf numFmtId="0" fontId="19" fillId="7" borderId="52" xfId="0" applyFont="1" applyFill="1" applyBorder="1" applyAlignment="1" applyProtection="1">
      <alignment horizontal="center" vertical="center"/>
      <protection hidden="1"/>
    </xf>
    <xf numFmtId="0" fontId="19" fillId="7" borderId="52" xfId="0" applyFont="1" applyFill="1" applyBorder="1" applyAlignment="1" applyProtection="1">
      <alignment horizontal="center" vertical="center" wrapText="1"/>
      <protection hidden="1"/>
    </xf>
    <xf numFmtId="0" fontId="19" fillId="7" borderId="52" xfId="0" applyFont="1" applyFill="1" applyBorder="1" applyAlignment="1" applyProtection="1">
      <alignment horizontal="center" wrapText="1"/>
      <protection hidden="1"/>
    </xf>
    <xf numFmtId="0" fontId="19" fillId="7" borderId="34" xfId="0" applyFont="1" applyFill="1" applyBorder="1" applyAlignment="1" applyProtection="1">
      <alignment horizontal="center" vertical="center"/>
      <protection hidden="1"/>
    </xf>
    <xf numFmtId="0" fontId="19" fillId="7" borderId="49" xfId="0" applyFont="1" applyFill="1" applyBorder="1" applyAlignment="1" applyProtection="1">
      <alignment horizontal="center" vertical="center" wrapText="1"/>
      <protection hidden="1"/>
    </xf>
    <xf numFmtId="0" fontId="19" fillId="7" borderId="20" xfId="0" applyFont="1" applyFill="1" applyBorder="1" applyAlignment="1" applyProtection="1">
      <alignment horizontal="center" vertical="center"/>
      <protection hidden="1"/>
    </xf>
    <xf numFmtId="0" fontId="19" fillId="7" borderId="16" xfId="0" applyFont="1" applyFill="1" applyBorder="1" applyAlignment="1" applyProtection="1">
      <alignment horizontal="center" vertical="center"/>
      <protection hidden="1"/>
    </xf>
    <xf numFmtId="0" fontId="19" fillId="7" borderId="21" xfId="0" applyFont="1" applyFill="1" applyBorder="1" applyProtection="1">
      <protection hidden="1"/>
    </xf>
    <xf numFmtId="0" fontId="19" fillId="7" borderId="14" xfId="0" applyFont="1" applyFill="1" applyBorder="1" applyProtection="1">
      <protection hidden="1"/>
    </xf>
    <xf numFmtId="169" fontId="19" fillId="7" borderId="11" xfId="0" applyNumberFormat="1" applyFont="1" applyFill="1" applyBorder="1" applyAlignment="1" applyProtection="1">
      <alignment horizontal="center"/>
      <protection hidden="1"/>
    </xf>
    <xf numFmtId="165" fontId="19" fillId="7" borderId="15" xfId="0" applyNumberFormat="1" applyFont="1" applyFill="1" applyBorder="1" applyAlignment="1" applyProtection="1">
      <alignment horizontal="center"/>
      <protection hidden="1"/>
    </xf>
    <xf numFmtId="170" fontId="19" fillId="0" borderId="36" xfId="0" applyNumberFormat="1" applyFont="1" applyFill="1" applyBorder="1" applyAlignment="1" applyProtection="1">
      <alignment horizontal="center"/>
      <protection hidden="1"/>
    </xf>
    <xf numFmtId="168" fontId="19" fillId="0" borderId="37" xfId="0" applyNumberFormat="1" applyFont="1" applyFill="1" applyBorder="1" applyAlignment="1" applyProtection="1">
      <alignment horizontal="center"/>
      <protection hidden="1"/>
    </xf>
    <xf numFmtId="168" fontId="19" fillId="0" borderId="28" xfId="0" applyNumberFormat="1" applyFont="1" applyFill="1" applyBorder="1" applyAlignment="1" applyProtection="1">
      <alignment horizontal="center"/>
      <protection hidden="1"/>
    </xf>
    <xf numFmtId="169" fontId="19" fillId="0" borderId="37" xfId="0" applyNumberFormat="1" applyFont="1" applyFill="1" applyBorder="1" applyAlignment="1" applyProtection="1">
      <alignment horizontal="center"/>
      <protection hidden="1"/>
    </xf>
    <xf numFmtId="169" fontId="19" fillId="0" borderId="28" xfId="0" applyNumberFormat="1" applyFont="1" applyFill="1" applyBorder="1" applyProtection="1">
      <protection hidden="1"/>
    </xf>
    <xf numFmtId="169" fontId="19" fillId="0" borderId="36" xfId="0" applyNumberFormat="1" applyFont="1" applyFill="1" applyBorder="1" applyProtection="1">
      <protection hidden="1"/>
    </xf>
    <xf numFmtId="168" fontId="19" fillId="0" borderId="24" xfId="0" applyNumberFormat="1" applyFont="1" applyFill="1" applyBorder="1" applyAlignment="1" applyProtection="1">
      <alignment horizontal="center"/>
      <protection hidden="1"/>
    </xf>
    <xf numFmtId="169" fontId="19" fillId="0" borderId="24" xfId="0" applyNumberFormat="1" applyFont="1" applyFill="1" applyBorder="1" applyProtection="1">
      <protection hidden="1"/>
    </xf>
    <xf numFmtId="169" fontId="19" fillId="0" borderId="38" xfId="0" applyNumberFormat="1" applyFont="1" applyFill="1" applyBorder="1" applyProtection="1">
      <protection hidden="1"/>
    </xf>
    <xf numFmtId="0" fontId="19" fillId="7" borderId="48" xfId="0" applyFont="1" applyFill="1" applyBorder="1" applyAlignment="1" applyProtection="1">
      <alignment horizontal="center"/>
      <protection hidden="1"/>
    </xf>
    <xf numFmtId="0" fontId="19" fillId="7" borderId="7" xfId="0" applyFont="1" applyFill="1" applyBorder="1" applyAlignment="1" applyProtection="1">
      <alignment horizontal="center"/>
      <protection hidden="1"/>
    </xf>
    <xf numFmtId="0" fontId="19" fillId="7" borderId="34" xfId="0" applyFont="1" applyFill="1" applyBorder="1" applyAlignment="1" applyProtection="1">
      <alignment horizontal="center"/>
      <protection hidden="1"/>
    </xf>
  </cellXfs>
  <cellStyles count="8">
    <cellStyle name="Hiperlink" xfId="1" builtinId="8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Separador de milhares 2" xfId="6" xr:uid="{00000000-0005-0000-0000-000007000000}"/>
    <cellStyle name="Vírgula" xfId="7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110657</xdr:rowOff>
    </xdr:from>
    <xdr:to>
      <xdr:col>4</xdr:col>
      <xdr:colOff>323850</xdr:colOff>
      <xdr:row>3</xdr:row>
      <xdr:rowOff>117942</xdr:rowOff>
    </xdr:to>
    <xdr:pic>
      <xdr:nvPicPr>
        <xdr:cNvPr id="3427" name="Imagem 1">
          <a:extLst>
            <a:ext uri="{FF2B5EF4-FFF2-40B4-BE49-F238E27FC236}">
              <a16:creationId xmlns:a16="http://schemas.microsoft.com/office/drawing/2014/main" id="{B5372C43-FD1A-48CF-B22C-512DDF8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72582"/>
          <a:ext cx="2080260" cy="33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12</xdr:row>
      <xdr:rowOff>19050</xdr:rowOff>
    </xdr:from>
    <xdr:to>
      <xdr:col>20</xdr:col>
      <xdr:colOff>38100</xdr:colOff>
      <xdr:row>16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25CABE-99B6-44C3-A120-298F4EDDB3EC}"/>
            </a:ext>
          </a:extLst>
        </xdr:cNvPr>
        <xdr:cNvSpPr txBox="1"/>
      </xdr:nvSpPr>
      <xdr:spPr>
        <a:xfrm>
          <a:off x="0" y="1990725"/>
          <a:ext cx="8448675" cy="742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did attend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afore mentioned vessel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ascertain the quantities of bunkering supplied and to compare it with vessel´s and barge records in order to make sure about the quantities received.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100"/>
        </a:p>
      </xdr:txBody>
    </xdr:sp>
    <xdr:clientData/>
  </xdr:twoCellAnchor>
  <xdr:twoCellAnchor editAs="oneCell">
    <xdr:from>
      <xdr:col>11</xdr:col>
      <xdr:colOff>238125</xdr:colOff>
      <xdr:row>64</xdr:row>
      <xdr:rowOff>152399</xdr:rowOff>
    </xdr:from>
    <xdr:to>
      <xdr:col>12</xdr:col>
      <xdr:colOff>625492</xdr:colOff>
      <xdr:row>72</xdr:row>
      <xdr:rowOff>55244</xdr:rowOff>
    </xdr:to>
    <xdr:pic>
      <xdr:nvPicPr>
        <xdr:cNvPr id="4" name="Imagem 3" descr="Uma imagem contendo Texto&#10;&#10;Descrição gerada automaticamente">
          <a:extLst>
            <a:ext uri="{FF2B5EF4-FFF2-40B4-BE49-F238E27FC236}">
              <a16:creationId xmlns:a16="http://schemas.microsoft.com/office/drawing/2014/main" id="{4C547785-EBAF-7FDD-BC29-52287382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10810874"/>
          <a:ext cx="1286527" cy="1320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100784</xdr:rowOff>
    </xdr:from>
    <xdr:to>
      <xdr:col>4</xdr:col>
      <xdr:colOff>344700</xdr:colOff>
      <xdr:row>3</xdr:row>
      <xdr:rowOff>102811</xdr:rowOff>
    </xdr:to>
    <xdr:pic>
      <xdr:nvPicPr>
        <xdr:cNvPr id="4439" name="Imagem 1">
          <a:extLst>
            <a:ext uri="{FF2B5EF4-FFF2-40B4-BE49-F238E27FC236}">
              <a16:creationId xmlns:a16="http://schemas.microsoft.com/office/drawing/2014/main" id="{05B7A527-878F-4D8C-8A2E-DE40F778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262709"/>
          <a:ext cx="2059200" cy="327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361950</xdr:colOff>
      <xdr:row>51</xdr:row>
      <xdr:rowOff>47625</xdr:rowOff>
    </xdr:from>
    <xdr:to>
      <xdr:col>11</xdr:col>
      <xdr:colOff>244492</xdr:colOff>
      <xdr:row>59</xdr:row>
      <xdr:rowOff>34290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9D1CF805-C3A4-4B10-94DF-E99E11C28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8486775"/>
          <a:ext cx="1286527" cy="13201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116255</xdr:rowOff>
    </xdr:from>
    <xdr:to>
      <xdr:col>2</xdr:col>
      <xdr:colOff>892474</xdr:colOff>
      <xdr:row>3</xdr:row>
      <xdr:rowOff>135204</xdr:rowOff>
    </xdr:to>
    <xdr:pic>
      <xdr:nvPicPr>
        <xdr:cNvPr id="1251" name="Imagem 1">
          <a:extLst>
            <a:ext uri="{FF2B5EF4-FFF2-40B4-BE49-F238E27FC236}">
              <a16:creationId xmlns:a16="http://schemas.microsoft.com/office/drawing/2014/main" id="{2A137F5C-2169-4738-AC49-167D123C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101" y="278180"/>
          <a:ext cx="2069763" cy="329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352425</xdr:colOff>
      <xdr:row>46</xdr:row>
      <xdr:rowOff>133350</xdr:rowOff>
    </xdr:from>
    <xdr:to>
      <xdr:col>9</xdr:col>
      <xdr:colOff>1029352</xdr:colOff>
      <xdr:row>55</xdr:row>
      <xdr:rowOff>0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9F6CC5D3-44DC-43F6-8EA4-A133BA0C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7419975"/>
          <a:ext cx="1286527" cy="1320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174237</xdr:rowOff>
    </xdr:from>
    <xdr:to>
      <xdr:col>3</xdr:col>
      <xdr:colOff>91440</xdr:colOff>
      <xdr:row>3</xdr:row>
      <xdr:rowOff>148880</xdr:rowOff>
    </xdr:to>
    <xdr:pic>
      <xdr:nvPicPr>
        <xdr:cNvPr id="8412" name="Imagem 1">
          <a:extLst>
            <a:ext uri="{FF2B5EF4-FFF2-40B4-BE49-F238E27FC236}">
              <a16:creationId xmlns:a16="http://schemas.microsoft.com/office/drawing/2014/main" id="{A4576630-9AEC-479C-9054-B122C098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" y="336162"/>
          <a:ext cx="2114550" cy="336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28</xdr:row>
      <xdr:rowOff>85725</xdr:rowOff>
    </xdr:from>
    <xdr:to>
      <xdr:col>10</xdr:col>
      <xdr:colOff>434992</xdr:colOff>
      <xdr:row>38</xdr:row>
      <xdr:rowOff>93345</xdr:rowOff>
    </xdr:to>
    <xdr:pic>
      <xdr:nvPicPr>
        <xdr:cNvPr id="3" name="Imagem 2" descr="Uma imagem contendo Texto&#10;&#10;Descrição gerada automaticamente">
          <a:extLst>
            <a:ext uri="{FF2B5EF4-FFF2-40B4-BE49-F238E27FC236}">
              <a16:creationId xmlns:a16="http://schemas.microsoft.com/office/drawing/2014/main" id="{47AC47F7-9505-4D51-B186-FC272B776A2F}"/>
            </a:ext>
            <a:ext uri="{147F2762-F138-4A5C-976F-8EAC2B608ADB}">
              <a16:predDERef xmlns:a16="http://schemas.microsoft.com/office/drawing/2014/main" pred="{AA7BC4B5-F5EA-4A0F-9A33-B1F93EFB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4705350"/>
          <a:ext cx="1286527" cy="1320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41627</xdr:rowOff>
    </xdr:from>
    <xdr:to>
      <xdr:col>3</xdr:col>
      <xdr:colOff>266700</xdr:colOff>
      <xdr:row>3</xdr:row>
      <xdr:rowOff>160389</xdr:rowOff>
    </xdr:to>
    <xdr:pic>
      <xdr:nvPicPr>
        <xdr:cNvPr id="10460" name="Imagem 1">
          <a:extLst>
            <a:ext uri="{FF2B5EF4-FFF2-40B4-BE49-F238E27FC236}">
              <a16:creationId xmlns:a16="http://schemas.microsoft.com/office/drawing/2014/main" id="{53AC6E55-93BB-42D5-B311-9297CD954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403577"/>
          <a:ext cx="1990725" cy="316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180975</xdr:colOff>
      <xdr:row>36</xdr:row>
      <xdr:rowOff>66675</xdr:rowOff>
    </xdr:from>
    <xdr:to>
      <xdr:col>8</xdr:col>
      <xdr:colOff>1463692</xdr:colOff>
      <xdr:row>43</xdr:row>
      <xdr:rowOff>57150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AAD85070-EF8A-4153-BB84-A1DF301C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6705600"/>
          <a:ext cx="1286527" cy="1320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74"/>
  <sheetViews>
    <sheetView showGridLines="0" topLeftCell="A24" zoomScaleNormal="100" zoomScaleSheetLayoutView="100" workbookViewId="0">
      <selection activeCell="W47" sqref="W47"/>
    </sheetView>
  </sheetViews>
  <sheetFormatPr defaultColWidth="9.1328125" defaultRowHeight="13.15"/>
  <cols>
    <col min="1" max="1" width="3.19921875" style="26" customWidth="1"/>
    <col min="2" max="2" width="10" style="26" customWidth="1"/>
    <col min="3" max="3" width="8.59765625" style="26" customWidth="1"/>
    <col min="4" max="4" width="8.1328125" style="26" customWidth="1"/>
    <col min="5" max="5" width="8.3984375" style="26" customWidth="1"/>
    <col min="6" max="6" width="10.3984375" style="26" customWidth="1"/>
    <col min="7" max="7" width="7.3984375" style="26" customWidth="1"/>
    <col min="8" max="8" width="10.59765625" style="26" customWidth="1"/>
    <col min="9" max="9" width="9.86328125" style="26" bestFit="1" customWidth="1"/>
    <col min="10" max="10" width="9.1328125" style="26"/>
    <col min="11" max="11" width="10.73046875" style="26" customWidth="1"/>
    <col min="12" max="12" width="13.59765625" style="26" customWidth="1"/>
    <col min="13" max="13" width="10.265625" style="26" customWidth="1"/>
    <col min="14" max="14" width="9.73046875" style="26" customWidth="1"/>
    <col min="15" max="18" width="9.1328125" style="26" hidden="1" customWidth="1"/>
    <col min="19" max="19" width="12" style="26" hidden="1" customWidth="1"/>
    <col min="20" max="20" width="6.3984375" style="26" hidden="1" customWidth="1"/>
    <col min="21" max="21" width="6.59765625" style="26" customWidth="1"/>
    <col min="22" max="16384" width="9.1328125" style="26"/>
  </cols>
  <sheetData>
    <row r="1" spans="2:21" ht="12.75" customHeight="1"/>
    <row r="2" spans="2:21" ht="12.75" customHeight="1">
      <c r="H2" s="251" t="s">
        <v>0</v>
      </c>
      <c r="I2" s="251"/>
      <c r="J2" s="251"/>
      <c r="K2" s="251"/>
      <c r="L2" s="251"/>
      <c r="M2" s="251"/>
      <c r="N2" s="251"/>
    </row>
    <row r="3" spans="2:21" ht="12.75" customHeight="1">
      <c r="H3" s="254" t="s">
        <v>141</v>
      </c>
      <c r="I3" s="254"/>
      <c r="J3" s="254"/>
      <c r="K3" s="254"/>
      <c r="L3" s="254"/>
      <c r="M3" s="254"/>
      <c r="N3" s="254"/>
    </row>
    <row r="4" spans="2:21" ht="12.75" customHeight="1">
      <c r="H4" s="255" t="s">
        <v>1</v>
      </c>
      <c r="I4" s="255"/>
      <c r="J4" s="255"/>
      <c r="K4" s="255"/>
      <c r="L4" s="255"/>
      <c r="M4" s="255"/>
      <c r="N4" s="255"/>
    </row>
    <row r="5" spans="2:21">
      <c r="B5" s="25"/>
      <c r="C5" s="25"/>
      <c r="D5" s="25"/>
      <c r="E5" s="25"/>
      <c r="F5" s="25"/>
      <c r="G5" s="25"/>
      <c r="H5" s="256"/>
      <c r="I5" s="256"/>
      <c r="J5" s="256"/>
      <c r="K5" s="256"/>
      <c r="L5" s="256"/>
      <c r="M5" s="32"/>
      <c r="N5" s="32"/>
      <c r="U5" s="40"/>
    </row>
    <row r="6" spans="2:21" ht="12.75" customHeight="1">
      <c r="B6" s="253" t="s">
        <v>2</v>
      </c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41"/>
      <c r="N6" s="41"/>
    </row>
    <row r="8" spans="2:21">
      <c r="B8" s="26" t="s">
        <v>3</v>
      </c>
      <c r="D8" s="26" t="s">
        <v>159</v>
      </c>
      <c r="H8" s="26" t="s">
        <v>4</v>
      </c>
      <c r="J8" s="26" t="s">
        <v>144</v>
      </c>
      <c r="M8" s="33"/>
      <c r="N8" s="33"/>
    </row>
    <row r="9" spans="2:21">
      <c r="H9" s="26" t="s">
        <v>6</v>
      </c>
      <c r="J9" s="26" t="s">
        <v>161</v>
      </c>
      <c r="M9" s="33"/>
      <c r="N9" s="33"/>
    </row>
    <row r="10" spans="2:21">
      <c r="B10" s="26" t="s">
        <v>7</v>
      </c>
      <c r="D10" s="221" t="s">
        <v>160</v>
      </c>
      <c r="E10" s="57"/>
      <c r="H10" s="26" t="s">
        <v>8</v>
      </c>
      <c r="J10" s="26" t="s">
        <v>162</v>
      </c>
      <c r="M10" s="33"/>
      <c r="N10" s="33"/>
    </row>
    <row r="11" spans="2:21">
      <c r="D11" s="252"/>
      <c r="E11" s="252"/>
      <c r="H11" s="26" t="s">
        <v>9</v>
      </c>
      <c r="J11" s="210" t="s">
        <v>185</v>
      </c>
      <c r="K11" s="210"/>
      <c r="M11" s="33"/>
      <c r="N11" s="33"/>
    </row>
    <row r="12" spans="2:21">
      <c r="M12" s="33"/>
      <c r="N12" s="33"/>
    </row>
    <row r="17" spans="2:23" ht="13.5" thickBot="1">
      <c r="B17" s="25" t="s">
        <v>10</v>
      </c>
    </row>
    <row r="18" spans="2:23" ht="13.5" thickBot="1">
      <c r="B18" s="159" t="s">
        <v>11</v>
      </c>
      <c r="C18" s="220">
        <v>4.4000000000000004</v>
      </c>
      <c r="D18" s="94" t="s">
        <v>12</v>
      </c>
      <c r="E18" s="101" t="s">
        <v>13</v>
      </c>
      <c r="F18" s="223">
        <v>7.6</v>
      </c>
      <c r="G18" s="198" t="s">
        <v>12</v>
      </c>
      <c r="H18" s="196" t="s">
        <v>14</v>
      </c>
      <c r="I18" s="205">
        <v>0</v>
      </c>
      <c r="J18" s="160" t="s">
        <v>15</v>
      </c>
      <c r="K18" s="161"/>
      <c r="L18" s="162" t="s">
        <v>16</v>
      </c>
      <c r="M18" s="310" t="s">
        <v>17</v>
      </c>
      <c r="N18" s="311"/>
    </row>
    <row r="19" spans="2:23">
      <c r="B19" s="279" t="s">
        <v>18</v>
      </c>
      <c r="C19" s="259" t="s">
        <v>19</v>
      </c>
      <c r="D19" s="288" t="s">
        <v>20</v>
      </c>
      <c r="E19" s="300" t="s">
        <v>21</v>
      </c>
      <c r="F19" s="290" t="s">
        <v>22</v>
      </c>
      <c r="G19" s="287" t="s">
        <v>23</v>
      </c>
      <c r="H19" s="266"/>
      <c r="I19" s="292" t="s">
        <v>24</v>
      </c>
      <c r="J19" s="296" t="s">
        <v>25</v>
      </c>
      <c r="K19" s="306" t="s">
        <v>26</v>
      </c>
      <c r="L19" s="294" t="s">
        <v>27</v>
      </c>
      <c r="M19" s="279" t="s">
        <v>28</v>
      </c>
      <c r="N19" s="308" t="s">
        <v>29</v>
      </c>
    </row>
    <row r="20" spans="2:23" ht="13.5" customHeight="1">
      <c r="B20" s="280"/>
      <c r="C20" s="260"/>
      <c r="D20" s="289"/>
      <c r="E20" s="301"/>
      <c r="F20" s="291"/>
      <c r="G20" s="163" t="s">
        <v>30</v>
      </c>
      <c r="H20" s="164" t="s">
        <v>31</v>
      </c>
      <c r="I20" s="293"/>
      <c r="J20" s="297"/>
      <c r="K20" s="307"/>
      <c r="L20" s="295"/>
      <c r="M20" s="280"/>
      <c r="N20" s="309"/>
    </row>
    <row r="21" spans="2:23">
      <c r="B21" s="157" t="s">
        <v>147</v>
      </c>
      <c r="C21" s="158" t="s">
        <v>5</v>
      </c>
      <c r="D21" s="385" t="s">
        <v>166</v>
      </c>
      <c r="E21" s="386">
        <v>32</v>
      </c>
      <c r="F21" s="387">
        <v>2.96</v>
      </c>
      <c r="G21" s="388" t="s">
        <v>32</v>
      </c>
      <c r="H21" s="389">
        <v>0</v>
      </c>
      <c r="I21" s="390">
        <f t="shared" ref="I21:I32" si="0">IF(F21="","",F21-H21)</f>
        <v>2.96</v>
      </c>
      <c r="J21" s="391">
        <f t="shared" ref="J21:J32" si="1">IF(F21="","",T21)</f>
        <v>0.98799999999999999</v>
      </c>
      <c r="K21" s="392">
        <v>0.96430000000000005</v>
      </c>
      <c r="L21" s="393">
        <f>IF(F21="","",I21*J21)</f>
        <v>2.92448</v>
      </c>
      <c r="M21" s="394">
        <f t="shared" ref="M21:M32" si="2">IF(B21="","",ROUND(SUM(L21*K21),3))</f>
        <v>2.82</v>
      </c>
      <c r="N21" s="395">
        <f>(K21-0.0011)*L21</f>
        <v>2.8168591360000002</v>
      </c>
      <c r="O21" s="43">
        <f t="shared" ref="O21:O32" si="3">E21-15</f>
        <v>17</v>
      </c>
      <c r="P21" s="26">
        <f t="shared" ref="P21:P32" si="4">K21*1000</f>
        <v>964.30000000000007</v>
      </c>
      <c r="Q21" s="26">
        <f t="shared" ref="Q21:Q32" si="5">IF(K21&gt;0.8385,186.9696,IF(K21&gt;0.7875,594.5418,IF(K21&gt;0.77,2680.3206,346.4228)))</f>
        <v>186.96960000000001</v>
      </c>
      <c r="R21" s="26">
        <f t="shared" ref="R21:R32" si="6">IF(K21&gt;0.8385,0.4862,IF(K21&gt;0.7875,0,IF(K21&gt;0.77,-0.00336312,0.4388)))</f>
        <v>0.48620000000000002</v>
      </c>
      <c r="S21" s="26">
        <f t="shared" ref="S21:S32" si="7">IF(OR(K21&gt;0.7876,K21=0.7876),(Q21/P21^2)+(R21/P21),IF(OR(K21&gt;0.7701,K21=0.7701),(Q21/P21^2)+R21,(Q21/P21^2)+(R21/P21)))</f>
        <v>7.0526965418741617E-4</v>
      </c>
      <c r="T21" s="44">
        <f t="shared" ref="T21:T32" si="8">ROUND(EXP(-S21*O21*(1+0.8*S21*O21)),4)</f>
        <v>0.98799999999999999</v>
      </c>
      <c r="W21" s="63"/>
    </row>
    <row r="22" spans="2:23">
      <c r="B22" s="81" t="s">
        <v>148</v>
      </c>
      <c r="C22" s="82" t="s">
        <v>5</v>
      </c>
      <c r="D22" s="396" t="s">
        <v>167</v>
      </c>
      <c r="E22" s="397">
        <v>32</v>
      </c>
      <c r="F22" s="398">
        <v>71.88</v>
      </c>
      <c r="G22" s="399" t="s">
        <v>32</v>
      </c>
      <c r="H22" s="400">
        <v>0</v>
      </c>
      <c r="I22" s="401">
        <f t="shared" si="0"/>
        <v>71.88</v>
      </c>
      <c r="J22" s="402">
        <f t="shared" si="1"/>
        <v>0.98799999999999999</v>
      </c>
      <c r="K22" s="403">
        <v>0.96430000000000005</v>
      </c>
      <c r="L22" s="404">
        <f t="shared" ref="L22:L32" si="9">IF(F22="","",I22*J22)</f>
        <v>71.017439999999993</v>
      </c>
      <c r="M22" s="405">
        <f t="shared" si="2"/>
        <v>68.481999999999999</v>
      </c>
      <c r="N22" s="406">
        <f t="shared" ref="N22:N32" si="10">(K22-0.0011)*L22</f>
        <v>68.403998208000004</v>
      </c>
      <c r="O22" s="43">
        <f t="shared" si="3"/>
        <v>17</v>
      </c>
      <c r="P22" s="26">
        <f t="shared" si="4"/>
        <v>964.30000000000007</v>
      </c>
      <c r="Q22" s="26">
        <f t="shared" si="5"/>
        <v>186.96960000000001</v>
      </c>
      <c r="R22" s="26">
        <f t="shared" si="6"/>
        <v>0.48620000000000002</v>
      </c>
      <c r="S22" s="26">
        <f t="shared" si="7"/>
        <v>7.0526965418741617E-4</v>
      </c>
      <c r="T22" s="44">
        <f t="shared" si="8"/>
        <v>0.98799999999999999</v>
      </c>
      <c r="W22" s="63"/>
    </row>
    <row r="23" spans="2:23">
      <c r="B23" s="81" t="s">
        <v>33</v>
      </c>
      <c r="C23" s="82" t="s">
        <v>5</v>
      </c>
      <c r="D23" s="396" t="s">
        <v>168</v>
      </c>
      <c r="E23" s="397">
        <v>30</v>
      </c>
      <c r="F23" s="398">
        <v>385.02</v>
      </c>
      <c r="G23" s="399" t="s">
        <v>32</v>
      </c>
      <c r="H23" s="400">
        <v>0</v>
      </c>
      <c r="I23" s="401">
        <f t="shared" si="0"/>
        <v>385.02</v>
      </c>
      <c r="J23" s="402">
        <f t="shared" si="1"/>
        <v>0.98939999999999995</v>
      </c>
      <c r="K23" s="403">
        <v>0.96430000000000005</v>
      </c>
      <c r="L23" s="404">
        <f t="shared" si="9"/>
        <v>380.93878799999999</v>
      </c>
      <c r="M23" s="405">
        <f t="shared" si="2"/>
        <v>367.339</v>
      </c>
      <c r="N23" s="406">
        <f t="shared" si="10"/>
        <v>366.92024060160003</v>
      </c>
      <c r="O23" s="43">
        <f t="shared" si="3"/>
        <v>15</v>
      </c>
      <c r="P23" s="68">
        <f t="shared" si="4"/>
        <v>964.30000000000007</v>
      </c>
      <c r="Q23" s="26">
        <f t="shared" si="5"/>
        <v>186.96960000000001</v>
      </c>
      <c r="R23" s="26">
        <f t="shared" si="6"/>
        <v>0.48620000000000002</v>
      </c>
      <c r="S23" s="26">
        <f t="shared" si="7"/>
        <v>7.0526965418741617E-4</v>
      </c>
      <c r="T23" s="44">
        <f t="shared" si="8"/>
        <v>0.98939999999999995</v>
      </c>
      <c r="W23" s="63"/>
    </row>
    <row r="24" spans="2:23">
      <c r="B24" s="81" t="s">
        <v>34</v>
      </c>
      <c r="C24" s="82" t="s">
        <v>5</v>
      </c>
      <c r="D24" s="396" t="s">
        <v>173</v>
      </c>
      <c r="E24" s="397">
        <v>29</v>
      </c>
      <c r="F24" s="398">
        <v>357.74</v>
      </c>
      <c r="G24" s="399" t="s">
        <v>32</v>
      </c>
      <c r="H24" s="400">
        <v>0</v>
      </c>
      <c r="I24" s="401">
        <f t="shared" si="0"/>
        <v>357.74</v>
      </c>
      <c r="J24" s="402">
        <f t="shared" si="1"/>
        <v>0.99009999999999998</v>
      </c>
      <c r="K24" s="403">
        <v>0.96430000000000005</v>
      </c>
      <c r="L24" s="404">
        <f t="shared" si="9"/>
        <v>354.198374</v>
      </c>
      <c r="M24" s="405">
        <f t="shared" si="2"/>
        <v>341.553</v>
      </c>
      <c r="N24" s="406">
        <f t="shared" si="10"/>
        <v>341.16387383680001</v>
      </c>
      <c r="O24" s="43">
        <f t="shared" si="3"/>
        <v>14</v>
      </c>
      <c r="P24" s="26">
        <f t="shared" si="4"/>
        <v>964.30000000000007</v>
      </c>
      <c r="Q24" s="26">
        <f t="shared" si="5"/>
        <v>186.96960000000001</v>
      </c>
      <c r="R24" s="26">
        <f t="shared" si="6"/>
        <v>0.48620000000000002</v>
      </c>
      <c r="S24" s="26">
        <f t="shared" si="7"/>
        <v>7.0526965418741617E-4</v>
      </c>
      <c r="T24" s="44">
        <f t="shared" si="8"/>
        <v>0.99009999999999998</v>
      </c>
      <c r="W24" s="63"/>
    </row>
    <row r="25" spans="2:23">
      <c r="B25" s="81" t="s">
        <v>163</v>
      </c>
      <c r="C25" s="82" t="s">
        <v>5</v>
      </c>
      <c r="D25" s="396">
        <v>0.08</v>
      </c>
      <c r="E25" s="397">
        <v>48</v>
      </c>
      <c r="F25" s="398">
        <v>2.2999999999999998</v>
      </c>
      <c r="G25" s="399" t="s">
        <v>32</v>
      </c>
      <c r="H25" s="400">
        <v>0</v>
      </c>
      <c r="I25" s="401">
        <f t="shared" si="0"/>
        <v>2.2999999999999998</v>
      </c>
      <c r="J25" s="402">
        <f t="shared" si="1"/>
        <v>0.97660000000000002</v>
      </c>
      <c r="K25" s="403">
        <v>0.96430000000000005</v>
      </c>
      <c r="L25" s="404">
        <f t="shared" si="9"/>
        <v>2.2461799999999998</v>
      </c>
      <c r="M25" s="405">
        <f t="shared" si="2"/>
        <v>2.1659999999999999</v>
      </c>
      <c r="N25" s="406">
        <f t="shared" si="10"/>
        <v>2.1635205759999998</v>
      </c>
      <c r="O25" s="43">
        <f t="shared" si="3"/>
        <v>33</v>
      </c>
      <c r="P25" s="26">
        <f t="shared" si="4"/>
        <v>964.30000000000007</v>
      </c>
      <c r="Q25" s="26">
        <f t="shared" si="5"/>
        <v>186.96960000000001</v>
      </c>
      <c r="R25" s="26">
        <f t="shared" si="6"/>
        <v>0.48620000000000002</v>
      </c>
      <c r="S25" s="26">
        <f t="shared" si="7"/>
        <v>7.0526965418741617E-4</v>
      </c>
      <c r="T25" s="44">
        <f t="shared" si="8"/>
        <v>0.97660000000000002</v>
      </c>
      <c r="W25" s="63"/>
    </row>
    <row r="26" spans="2:23">
      <c r="B26" s="81" t="s">
        <v>164</v>
      </c>
      <c r="C26" s="82" t="s">
        <v>5</v>
      </c>
      <c r="D26" s="396" t="s">
        <v>169</v>
      </c>
      <c r="E26" s="397">
        <v>32</v>
      </c>
      <c r="F26" s="398">
        <v>100</v>
      </c>
      <c r="G26" s="399" t="s">
        <v>32</v>
      </c>
      <c r="H26" s="400">
        <v>0</v>
      </c>
      <c r="I26" s="401">
        <f t="shared" si="0"/>
        <v>100</v>
      </c>
      <c r="J26" s="402">
        <f>IF(F26="","",T26)</f>
        <v>0.98799999999999999</v>
      </c>
      <c r="K26" s="403">
        <v>0.96430000000000005</v>
      </c>
      <c r="L26" s="404">
        <f>IF(F26="","",I26*J26)</f>
        <v>98.8</v>
      </c>
      <c r="M26" s="405">
        <f>IF(B26="","",ROUND(SUM(L26*K26),3))</f>
        <v>95.272999999999996</v>
      </c>
      <c r="N26" s="406">
        <f>(K26-0.0011)*L26</f>
        <v>95.16416000000001</v>
      </c>
      <c r="O26" s="43">
        <f t="shared" si="3"/>
        <v>17</v>
      </c>
      <c r="P26" s="26">
        <f>K26*1000</f>
        <v>964.30000000000007</v>
      </c>
      <c r="Q26" s="26">
        <f>IF(K26&gt;0.8385,186.9696,IF(K26&gt;0.7875,594.5418,IF(K26&gt;0.77,2680.3206,346.4228)))</f>
        <v>186.96960000000001</v>
      </c>
      <c r="R26" s="26">
        <f>IF(K26&gt;0.8385,0.4862,IF(K26&gt;0.7875,0,IF(K26&gt;0.77,-0.00336312,0.4388)))</f>
        <v>0.48620000000000002</v>
      </c>
      <c r="S26" s="26">
        <f>IF(OR(K26&gt;0.7876,K26=0.7876),(Q26/P26^2)+(R26/P26),IF(OR(K26&gt;0.7701,K26=0.7701),(Q26/P26^2)+R26,(Q26/P26^2)+(R26/P26)))</f>
        <v>7.0526965418741617E-4</v>
      </c>
      <c r="T26" s="44">
        <f t="shared" si="8"/>
        <v>0.98799999999999999</v>
      </c>
      <c r="W26" s="63"/>
    </row>
    <row r="27" spans="2:23">
      <c r="B27" s="81" t="s">
        <v>146</v>
      </c>
      <c r="C27" s="82" t="s">
        <v>5</v>
      </c>
      <c r="D27" s="396" t="s">
        <v>170</v>
      </c>
      <c r="E27" s="397">
        <v>90</v>
      </c>
      <c r="F27" s="398">
        <v>38.799999999999997</v>
      </c>
      <c r="G27" s="399" t="s">
        <v>32</v>
      </c>
      <c r="H27" s="400">
        <v>0</v>
      </c>
      <c r="I27" s="401">
        <f t="shared" si="0"/>
        <v>38.799999999999997</v>
      </c>
      <c r="J27" s="402">
        <f t="shared" si="1"/>
        <v>0.94420000000000004</v>
      </c>
      <c r="K27" s="403">
        <v>0.93530000000000002</v>
      </c>
      <c r="L27" s="404">
        <f t="shared" si="9"/>
        <v>36.63496</v>
      </c>
      <c r="M27" s="405">
        <f t="shared" si="2"/>
        <v>34.265000000000001</v>
      </c>
      <c r="N27" s="406">
        <f t="shared" si="10"/>
        <v>34.224379632000002</v>
      </c>
      <c r="O27" s="43">
        <f t="shared" si="3"/>
        <v>75</v>
      </c>
      <c r="P27" s="26">
        <f t="shared" si="4"/>
        <v>935.30000000000007</v>
      </c>
      <c r="Q27" s="26">
        <f t="shared" si="5"/>
        <v>186.96960000000001</v>
      </c>
      <c r="R27" s="26">
        <f t="shared" si="6"/>
        <v>0.48620000000000002</v>
      </c>
      <c r="S27" s="26">
        <f t="shared" si="7"/>
        <v>7.3356500215955654E-4</v>
      </c>
      <c r="T27" s="44">
        <f t="shared" si="8"/>
        <v>0.94420000000000004</v>
      </c>
      <c r="W27" s="63"/>
    </row>
    <row r="28" spans="2:23">
      <c r="B28" s="81" t="s">
        <v>165</v>
      </c>
      <c r="C28" s="82" t="s">
        <v>5</v>
      </c>
      <c r="D28" s="396" t="s">
        <v>171</v>
      </c>
      <c r="E28" s="397">
        <v>89</v>
      </c>
      <c r="F28" s="398">
        <v>58.2</v>
      </c>
      <c r="G28" s="399" t="s">
        <v>32</v>
      </c>
      <c r="H28" s="400">
        <v>0</v>
      </c>
      <c r="I28" s="401">
        <f t="shared" si="0"/>
        <v>58.2</v>
      </c>
      <c r="J28" s="402">
        <f t="shared" si="1"/>
        <v>0.94489999999999996</v>
      </c>
      <c r="K28" s="403">
        <v>0.93530000000000002</v>
      </c>
      <c r="L28" s="404">
        <f t="shared" si="9"/>
        <v>54.993180000000002</v>
      </c>
      <c r="M28" s="405">
        <f t="shared" si="2"/>
        <v>51.435000000000002</v>
      </c>
      <c r="N28" s="406">
        <f t="shared" si="10"/>
        <v>51.374628756000007</v>
      </c>
      <c r="O28" s="43">
        <f t="shared" si="3"/>
        <v>74</v>
      </c>
      <c r="P28" s="26">
        <f t="shared" si="4"/>
        <v>935.30000000000007</v>
      </c>
      <c r="Q28" s="26">
        <f t="shared" si="5"/>
        <v>186.96960000000001</v>
      </c>
      <c r="R28" s="26">
        <f t="shared" si="6"/>
        <v>0.48620000000000002</v>
      </c>
      <c r="S28" s="26">
        <f t="shared" si="7"/>
        <v>7.3356500215955654E-4</v>
      </c>
      <c r="T28" s="44">
        <f t="shared" si="8"/>
        <v>0.94489999999999996</v>
      </c>
      <c r="W28" s="63"/>
    </row>
    <row r="29" spans="2:23">
      <c r="B29" s="81" t="s">
        <v>150</v>
      </c>
      <c r="C29" s="82" t="s">
        <v>5</v>
      </c>
      <c r="D29" s="396" t="s">
        <v>172</v>
      </c>
      <c r="E29" s="397">
        <v>48</v>
      </c>
      <c r="F29" s="398">
        <v>18.3</v>
      </c>
      <c r="G29" s="399" t="s">
        <v>32</v>
      </c>
      <c r="H29" s="400">
        <v>0</v>
      </c>
      <c r="I29" s="401">
        <f t="shared" si="0"/>
        <v>18.3</v>
      </c>
      <c r="J29" s="402">
        <f t="shared" si="1"/>
        <v>0.9758</v>
      </c>
      <c r="K29" s="403">
        <v>0.94189999999999996</v>
      </c>
      <c r="L29" s="404">
        <f t="shared" si="9"/>
        <v>17.857140000000001</v>
      </c>
      <c r="M29" s="405">
        <f t="shared" si="2"/>
        <v>16.82</v>
      </c>
      <c r="N29" s="406">
        <f t="shared" si="10"/>
        <v>16.799997312000002</v>
      </c>
      <c r="O29" s="43">
        <f t="shared" si="3"/>
        <v>33</v>
      </c>
      <c r="P29" s="26">
        <f t="shared" si="4"/>
        <v>941.9</v>
      </c>
      <c r="Q29" s="26">
        <f t="shared" si="5"/>
        <v>186.96960000000001</v>
      </c>
      <c r="R29" s="26">
        <f t="shared" si="6"/>
        <v>0.48620000000000002</v>
      </c>
      <c r="S29" s="26">
        <f t="shared" si="7"/>
        <v>7.2693768035394938E-4</v>
      </c>
      <c r="T29" s="44">
        <f t="shared" si="8"/>
        <v>0.9758</v>
      </c>
      <c r="W29" s="63"/>
    </row>
    <row r="30" spans="2:23">
      <c r="B30" s="81" t="s">
        <v>149</v>
      </c>
      <c r="C30" s="82" t="s">
        <v>5</v>
      </c>
      <c r="D30" s="396">
        <v>0</v>
      </c>
      <c r="E30" s="397">
        <v>62</v>
      </c>
      <c r="F30" s="398">
        <v>0.3</v>
      </c>
      <c r="G30" s="399" t="s">
        <v>32</v>
      </c>
      <c r="H30" s="400">
        <v>0</v>
      </c>
      <c r="I30" s="401">
        <f t="shared" si="0"/>
        <v>0.3</v>
      </c>
      <c r="J30" s="402">
        <f t="shared" si="1"/>
        <v>0.96550000000000002</v>
      </c>
      <c r="K30" s="403">
        <v>0.94189999999999996</v>
      </c>
      <c r="L30" s="404">
        <f t="shared" si="9"/>
        <v>0.28965000000000002</v>
      </c>
      <c r="M30" s="405">
        <f t="shared" si="2"/>
        <v>0.27300000000000002</v>
      </c>
      <c r="N30" s="406">
        <f t="shared" si="10"/>
        <v>0.27250272000000003</v>
      </c>
      <c r="O30" s="43">
        <f t="shared" si="3"/>
        <v>47</v>
      </c>
      <c r="P30" s="26">
        <f t="shared" si="4"/>
        <v>941.9</v>
      </c>
      <c r="Q30" s="26">
        <f t="shared" si="5"/>
        <v>186.96960000000001</v>
      </c>
      <c r="R30" s="26">
        <f t="shared" si="6"/>
        <v>0.48620000000000002</v>
      </c>
      <c r="S30" s="26">
        <f t="shared" si="7"/>
        <v>7.2693768035394938E-4</v>
      </c>
      <c r="T30" s="44">
        <f t="shared" si="8"/>
        <v>0.96550000000000002</v>
      </c>
      <c r="W30" s="63"/>
    </row>
    <row r="31" spans="2:23" ht="13.5" thickBot="1">
      <c r="B31" s="81" t="s">
        <v>158</v>
      </c>
      <c r="C31" s="82" t="s">
        <v>5</v>
      </c>
      <c r="D31" s="407">
        <v>0.36</v>
      </c>
      <c r="E31" s="408">
        <v>30</v>
      </c>
      <c r="F31" s="409">
        <v>2.4</v>
      </c>
      <c r="G31" s="410" t="s">
        <v>32</v>
      </c>
      <c r="H31" s="411">
        <v>0</v>
      </c>
      <c r="I31" s="412">
        <f t="shared" si="0"/>
        <v>2.4</v>
      </c>
      <c r="J31" s="402">
        <f>IF(F31="","",T31)</f>
        <v>0.98899999999999999</v>
      </c>
      <c r="K31" s="403">
        <v>0.93530000000000002</v>
      </c>
      <c r="L31" s="404">
        <f>IF(F31="","",I31*J31)</f>
        <v>2.3735999999999997</v>
      </c>
      <c r="M31" s="405">
        <f>IF(B31="","",ROUND(SUM(L31*K31),3))</f>
        <v>2.2200000000000002</v>
      </c>
      <c r="N31" s="406">
        <f>(K31-0.0011)*L31</f>
        <v>2.2174171199999999</v>
      </c>
      <c r="O31" s="43">
        <f>E31-15</f>
        <v>15</v>
      </c>
      <c r="P31" s="26">
        <f>K31*1000</f>
        <v>935.30000000000007</v>
      </c>
      <c r="Q31" s="26">
        <f>IF(K31&gt;0.8385,186.9696,IF(K31&gt;0.7875,594.5418,IF(K31&gt;0.77,2680.3206,346.4228)))</f>
        <v>186.96960000000001</v>
      </c>
      <c r="R31" s="26">
        <f>IF(K31&gt;0.8385,0.4862,IF(K31&gt;0.7875,0,IF(K31&gt;0.77,-0.00336312,0.4388)))</f>
        <v>0.48620000000000002</v>
      </c>
      <c r="S31" s="26">
        <f>IF(OR(K31&gt;0.7876,K31=0.7876),(Q31/P31^2)+(R31/P31),IF(OR(K31&gt;0.7701,K31=0.7701),(Q31/P31^2)+R31,(Q31/P31^2)+(R31/P31)))</f>
        <v>7.3356500215955654E-4</v>
      </c>
      <c r="T31" s="44">
        <f>ROUND(EXP(-S31*O31*(1+0.8*S31*O31)),4)</f>
        <v>0.98899999999999999</v>
      </c>
      <c r="W31" s="63"/>
    </row>
    <row r="32" spans="2:23" ht="13.5" hidden="1" thickBot="1">
      <c r="B32" s="92">
        <v>4</v>
      </c>
      <c r="C32" s="88" t="s">
        <v>5</v>
      </c>
      <c r="D32" s="174" t="s">
        <v>35</v>
      </c>
      <c r="E32" s="175">
        <v>0</v>
      </c>
      <c r="F32" s="176">
        <v>0</v>
      </c>
      <c r="G32" s="89" t="s">
        <v>32</v>
      </c>
      <c r="H32" s="96">
        <v>0</v>
      </c>
      <c r="I32" s="98">
        <f t="shared" si="0"/>
        <v>0</v>
      </c>
      <c r="J32" s="97">
        <f t="shared" si="1"/>
        <v>1.0115000000000001</v>
      </c>
      <c r="K32" s="178">
        <v>0.9</v>
      </c>
      <c r="L32" s="90">
        <f t="shared" si="9"/>
        <v>0</v>
      </c>
      <c r="M32" s="91">
        <f t="shared" si="2"/>
        <v>0</v>
      </c>
      <c r="N32" s="87">
        <f t="shared" si="10"/>
        <v>0</v>
      </c>
      <c r="O32" s="43">
        <f t="shared" si="3"/>
        <v>-15</v>
      </c>
      <c r="P32" s="26">
        <f t="shared" si="4"/>
        <v>900</v>
      </c>
      <c r="Q32" s="26">
        <f t="shared" si="5"/>
        <v>186.96960000000001</v>
      </c>
      <c r="R32" s="26">
        <f t="shared" si="6"/>
        <v>0.48620000000000002</v>
      </c>
      <c r="S32" s="26">
        <f t="shared" si="7"/>
        <v>7.7104888888888891E-4</v>
      </c>
      <c r="T32" s="44">
        <f t="shared" si="8"/>
        <v>1.0115000000000001</v>
      </c>
      <c r="W32" s="63"/>
    </row>
    <row r="33" spans="2:25" ht="13.5" thickBot="1">
      <c r="B33" s="268" t="s">
        <v>36</v>
      </c>
      <c r="C33" s="269"/>
      <c r="D33" s="269"/>
      <c r="E33" s="269"/>
      <c r="F33" s="270"/>
      <c r="G33" s="304"/>
      <c r="H33" s="305"/>
      <c r="I33" s="165">
        <f>SUM(I21:I32)</f>
        <v>1037.8999999999999</v>
      </c>
      <c r="J33" s="302"/>
      <c r="K33" s="303"/>
      <c r="L33" s="154">
        <f>SUM(L21:L32)</f>
        <v>1022.273792</v>
      </c>
      <c r="M33" s="155">
        <f>SUM(M21:M32)</f>
        <v>982.64600000000019</v>
      </c>
      <c r="N33" s="156">
        <f>SUM(N21:N31)</f>
        <v>981.52157789840021</v>
      </c>
      <c r="O33" s="45">
        <f>SUM(O21:O32)</f>
        <v>342</v>
      </c>
    </row>
    <row r="34" spans="2:25" ht="13.5" thickBot="1">
      <c r="B34" s="47"/>
      <c r="C34" s="47"/>
      <c r="D34" s="47"/>
      <c r="E34" s="47"/>
      <c r="F34" s="47"/>
      <c r="G34" s="47"/>
      <c r="H34" s="47"/>
      <c r="I34" s="76"/>
      <c r="J34" s="47"/>
      <c r="K34" s="47"/>
      <c r="L34" s="76"/>
      <c r="M34" s="76"/>
      <c r="N34" s="86"/>
      <c r="O34" s="45"/>
    </row>
    <row r="35" spans="2:25" ht="13.5" thickBot="1">
      <c r="K35" s="129" t="s">
        <v>37</v>
      </c>
      <c r="L35" s="219">
        <v>981.5</v>
      </c>
      <c r="M35" s="83" t="s">
        <v>38</v>
      </c>
      <c r="N35" s="225">
        <f>N33-L35</f>
        <v>2.1577898400209961E-2</v>
      </c>
      <c r="O35" s="42"/>
    </row>
    <row r="36" spans="2:25">
      <c r="B36" s="25"/>
      <c r="E36" s="33"/>
      <c r="G36" s="33"/>
      <c r="O36" s="42"/>
    </row>
    <row r="37" spans="2:25">
      <c r="B37" s="25" t="s">
        <v>39</v>
      </c>
      <c r="O37" s="42"/>
      <c r="Y37" s="224"/>
    </row>
    <row r="38" spans="2:25">
      <c r="B38" s="93" t="s">
        <v>11</v>
      </c>
      <c r="C38" s="220">
        <v>4.8</v>
      </c>
      <c r="D38" s="94" t="s">
        <v>12</v>
      </c>
      <c r="E38" s="94" t="s">
        <v>13</v>
      </c>
      <c r="F38" s="222">
        <v>7.45</v>
      </c>
      <c r="G38" s="28" t="s">
        <v>12</v>
      </c>
      <c r="H38" s="195" t="s">
        <v>14</v>
      </c>
      <c r="I38" s="207">
        <v>0</v>
      </c>
      <c r="J38" s="100" t="s">
        <v>15</v>
      </c>
      <c r="K38" s="101"/>
      <c r="L38" s="108" t="s">
        <v>16</v>
      </c>
      <c r="M38" s="262" t="s">
        <v>17</v>
      </c>
      <c r="N38" s="263"/>
      <c r="O38" s="42"/>
    </row>
    <row r="39" spans="2:25">
      <c r="B39" s="279" t="s">
        <v>18</v>
      </c>
      <c r="C39" s="259" t="s">
        <v>19</v>
      </c>
      <c r="D39" s="300" t="s">
        <v>20</v>
      </c>
      <c r="E39" s="298" t="s">
        <v>40</v>
      </c>
      <c r="F39" s="277" t="s">
        <v>41</v>
      </c>
      <c r="G39" s="285" t="s">
        <v>23</v>
      </c>
      <c r="H39" s="286"/>
      <c r="I39" s="274" t="s">
        <v>24</v>
      </c>
      <c r="J39" s="271" t="s">
        <v>25</v>
      </c>
      <c r="K39" s="288" t="s">
        <v>26</v>
      </c>
      <c r="L39" s="281" t="s">
        <v>42</v>
      </c>
      <c r="M39" s="264" t="s">
        <v>28</v>
      </c>
      <c r="N39" s="266" t="s">
        <v>29</v>
      </c>
      <c r="O39" s="42"/>
    </row>
    <row r="40" spans="2:25">
      <c r="B40" s="280"/>
      <c r="C40" s="260"/>
      <c r="D40" s="301"/>
      <c r="E40" s="299"/>
      <c r="F40" s="278"/>
      <c r="G40" s="193" t="s">
        <v>30</v>
      </c>
      <c r="H40" s="194" t="s">
        <v>31</v>
      </c>
      <c r="I40" s="275"/>
      <c r="J40" s="272"/>
      <c r="K40" s="289"/>
      <c r="L40" s="282"/>
      <c r="M40" s="265"/>
      <c r="N40" s="267"/>
      <c r="O40" s="42"/>
    </row>
    <row r="41" spans="2:25">
      <c r="B41" s="157" t="str">
        <f t="shared" ref="B41:B52" si="11">B21</f>
        <v>HFO 1P</v>
      </c>
      <c r="C41" s="158" t="s">
        <v>5</v>
      </c>
      <c r="D41" s="385">
        <v>2.98</v>
      </c>
      <c r="E41" s="386">
        <v>42.6</v>
      </c>
      <c r="F41" s="387">
        <v>112.64</v>
      </c>
      <c r="G41" s="388" t="s">
        <v>32</v>
      </c>
      <c r="H41" s="387">
        <v>0</v>
      </c>
      <c r="I41" s="390">
        <f>IF(F41="","",F41-H41)</f>
        <v>112.64</v>
      </c>
      <c r="J41" s="402">
        <f t="shared" ref="J41:J52" si="12">IF(F41="","",T41)</f>
        <v>0.97960000000000003</v>
      </c>
      <c r="K41" s="392">
        <v>0.93500000000000005</v>
      </c>
      <c r="L41" s="393">
        <f>IF(F41="","",I41*J41)</f>
        <v>110.342144</v>
      </c>
      <c r="M41" s="417">
        <f>IF(B41="","",ROUND(SUM(L41*K41),3))</f>
        <v>103.17</v>
      </c>
      <c r="N41" s="418">
        <f>(K41-0.0011)*L41</f>
        <v>103.04852828160001</v>
      </c>
      <c r="O41" s="43">
        <f>E41-15</f>
        <v>27.6</v>
      </c>
      <c r="P41" s="26">
        <f>K41*1000</f>
        <v>935</v>
      </c>
      <c r="Q41" s="26">
        <f>IF(K41&gt;0.8385,186.9696,IF(K41&gt;0.7875,594.5418,IF(K41&gt;0.77,2680.3206,346.4228)))</f>
        <v>186.96960000000001</v>
      </c>
      <c r="R41" s="26">
        <f>IF(K41&gt;0.8385,0.4862,IF(K41&gt;0.7875,0,IF(K41&gt;0.77,-0.00336312,0.4388)))</f>
        <v>0.48620000000000002</v>
      </c>
      <c r="S41" s="26">
        <f>IF(OR(K41&gt;0.7876,K41=0.7876),(Q41/P41^2)+(R41/P41),IF(OR(K41&gt;0.7701,K41=0.7701),(Q41/P41^2)+R41,(Q41/P41^2)+(R41/P41)))</f>
        <v>7.3386896965884079E-4</v>
      </c>
      <c r="T41" s="44">
        <f>ROUND(EXP(-S41*O41*(1+0.8*S41*O41)),4)</f>
        <v>0.97960000000000003</v>
      </c>
    </row>
    <row r="42" spans="2:25">
      <c r="B42" s="81" t="str">
        <f t="shared" si="11"/>
        <v>HFO 1S</v>
      </c>
      <c r="C42" s="82" t="s">
        <v>5</v>
      </c>
      <c r="D42" s="385" t="str">
        <f t="shared" ref="D42:E42" si="13">D22</f>
        <v>3,41 U</v>
      </c>
      <c r="E42" s="386">
        <f t="shared" si="13"/>
        <v>32</v>
      </c>
      <c r="F42" s="387">
        <f t="shared" ref="F42:F43" si="14">F22</f>
        <v>71.88</v>
      </c>
      <c r="G42" s="399" t="s">
        <v>32</v>
      </c>
      <c r="H42" s="398">
        <v>0</v>
      </c>
      <c r="I42" s="401">
        <f t="shared" ref="I42:I52" si="15">IF(F42="","",F42-H42)</f>
        <v>71.88</v>
      </c>
      <c r="J42" s="402">
        <f t="shared" si="12"/>
        <v>0.98799999999999999</v>
      </c>
      <c r="K42" s="392">
        <f t="shared" ref="K42:K51" si="16">K22</f>
        <v>0.96430000000000005</v>
      </c>
      <c r="L42" s="404">
        <f t="shared" ref="L42:L52" si="17">IF(F42="","",I42*J42)</f>
        <v>71.017439999999993</v>
      </c>
      <c r="M42" s="422">
        <f t="shared" ref="M42:M52" si="18">IF(B42="","",ROUND(SUM(L42*K42),3))</f>
        <v>68.481999999999999</v>
      </c>
      <c r="N42" s="423">
        <f t="shared" ref="N42:N52" si="19">(K42-0.0011)*L42</f>
        <v>68.403998208000004</v>
      </c>
      <c r="O42" s="43">
        <f t="shared" ref="O42:O52" si="20">E42-15</f>
        <v>17</v>
      </c>
      <c r="P42" s="26">
        <f t="shared" ref="P42:P52" si="21">K42*1000</f>
        <v>964.30000000000007</v>
      </c>
      <c r="Q42" s="26">
        <f t="shared" ref="Q42:Q52" si="22">IF(K42&gt;0.8385,186.9696,IF(K42&gt;0.7875,594.5418,IF(K42&gt;0.77,2680.3206,346.4228)))</f>
        <v>186.96960000000001</v>
      </c>
      <c r="R42" s="26">
        <f t="shared" ref="R42:R52" si="23">IF(K42&gt;0.8385,0.4862,IF(K42&gt;0.7875,0,IF(K42&gt;0.77,-0.00336312,0.4388)))</f>
        <v>0.48620000000000002</v>
      </c>
      <c r="S42" s="26">
        <f t="shared" ref="S42:S52" si="24">IF(OR(K42&gt;0.7876,K42=0.7876),(Q42/P42^2)+(R42/P42),IF(OR(K42&gt;0.7701,K42=0.7701),(Q42/P42^2)+R42,(Q42/P42^2)+(R42/P42)))</f>
        <v>7.0526965418741617E-4</v>
      </c>
      <c r="T42" s="44">
        <f t="shared" ref="T42:T52" si="25">ROUND(EXP(-S42*O42*(1+0.8*S42*O42)),4)</f>
        <v>0.98799999999999999</v>
      </c>
    </row>
    <row r="43" spans="2:25">
      <c r="B43" s="81" t="str">
        <f t="shared" si="11"/>
        <v>HFO 2P</v>
      </c>
      <c r="C43" s="82" t="s">
        <v>5</v>
      </c>
      <c r="D43" s="385" t="str">
        <f t="shared" ref="D43:E43" si="26">D23</f>
        <v>1,03 U</v>
      </c>
      <c r="E43" s="386">
        <f t="shared" si="26"/>
        <v>30</v>
      </c>
      <c r="F43" s="387">
        <f t="shared" si="14"/>
        <v>385.02</v>
      </c>
      <c r="G43" s="399" t="s">
        <v>32</v>
      </c>
      <c r="H43" s="398">
        <v>0</v>
      </c>
      <c r="I43" s="401">
        <f t="shared" si="15"/>
        <v>385.02</v>
      </c>
      <c r="J43" s="402">
        <f t="shared" si="12"/>
        <v>0.98939999999999995</v>
      </c>
      <c r="K43" s="392">
        <f t="shared" si="16"/>
        <v>0.96430000000000005</v>
      </c>
      <c r="L43" s="404">
        <f t="shared" si="17"/>
        <v>380.93878799999999</v>
      </c>
      <c r="M43" s="422">
        <f t="shared" si="18"/>
        <v>367.339</v>
      </c>
      <c r="N43" s="423">
        <f t="shared" si="19"/>
        <v>366.92024060160003</v>
      </c>
      <c r="O43" s="43">
        <f t="shared" si="20"/>
        <v>15</v>
      </c>
      <c r="P43" s="26">
        <f t="shared" si="21"/>
        <v>964.30000000000007</v>
      </c>
      <c r="Q43" s="26">
        <f t="shared" si="22"/>
        <v>186.96960000000001</v>
      </c>
      <c r="R43" s="26">
        <f t="shared" si="23"/>
        <v>0.48620000000000002</v>
      </c>
      <c r="S43" s="26">
        <f t="shared" si="24"/>
        <v>7.0526965418741617E-4</v>
      </c>
      <c r="T43" s="44">
        <f t="shared" si="25"/>
        <v>0.98939999999999995</v>
      </c>
    </row>
    <row r="44" spans="2:25">
      <c r="B44" s="81" t="str">
        <f t="shared" si="11"/>
        <v>HFO 2S</v>
      </c>
      <c r="C44" s="82" t="s">
        <v>5</v>
      </c>
      <c r="D44" s="385" t="str">
        <f t="shared" ref="D44" si="27">D24</f>
        <v>1,21 U</v>
      </c>
      <c r="E44" s="386">
        <f t="shared" ref="E44" si="28">E24</f>
        <v>29</v>
      </c>
      <c r="F44" s="387">
        <f t="shared" ref="F44" si="29">F24</f>
        <v>357.74</v>
      </c>
      <c r="G44" s="399" t="s">
        <v>32</v>
      </c>
      <c r="H44" s="398">
        <v>0</v>
      </c>
      <c r="I44" s="401">
        <f t="shared" si="15"/>
        <v>357.74</v>
      </c>
      <c r="J44" s="402">
        <f t="shared" si="12"/>
        <v>0.99009999999999998</v>
      </c>
      <c r="K44" s="392">
        <f t="shared" si="16"/>
        <v>0.96430000000000005</v>
      </c>
      <c r="L44" s="404">
        <f t="shared" si="17"/>
        <v>354.198374</v>
      </c>
      <c r="M44" s="422">
        <f t="shared" si="18"/>
        <v>341.553</v>
      </c>
      <c r="N44" s="423">
        <f t="shared" si="19"/>
        <v>341.16387383680001</v>
      </c>
      <c r="O44" s="43">
        <f t="shared" si="20"/>
        <v>14</v>
      </c>
      <c r="P44" s="26">
        <f t="shared" si="21"/>
        <v>964.30000000000007</v>
      </c>
      <c r="Q44" s="26">
        <f t="shared" si="22"/>
        <v>186.96960000000001</v>
      </c>
      <c r="R44" s="26">
        <f t="shared" si="23"/>
        <v>0.48620000000000002</v>
      </c>
      <c r="S44" s="26">
        <f t="shared" si="24"/>
        <v>7.0526965418741617E-4</v>
      </c>
      <c r="T44" s="44">
        <f t="shared" si="25"/>
        <v>0.99009999999999998</v>
      </c>
    </row>
    <row r="45" spans="2:25">
      <c r="B45" s="81" t="str">
        <f t="shared" si="11"/>
        <v>LSHFO P</v>
      </c>
      <c r="C45" s="82" t="s">
        <v>5</v>
      </c>
      <c r="D45" s="385">
        <f t="shared" ref="D45:E51" si="30">D25</f>
        <v>0.08</v>
      </c>
      <c r="E45" s="386">
        <f t="shared" si="30"/>
        <v>48</v>
      </c>
      <c r="F45" s="387">
        <f t="shared" ref="E45:F51" si="31">F25</f>
        <v>2.2999999999999998</v>
      </c>
      <c r="G45" s="399" t="s">
        <v>32</v>
      </c>
      <c r="H45" s="398">
        <v>0</v>
      </c>
      <c r="I45" s="401">
        <f t="shared" si="15"/>
        <v>2.2999999999999998</v>
      </c>
      <c r="J45" s="402">
        <f t="shared" si="12"/>
        <v>0.97660000000000002</v>
      </c>
      <c r="K45" s="392">
        <f t="shared" si="16"/>
        <v>0.96430000000000005</v>
      </c>
      <c r="L45" s="404">
        <f t="shared" si="17"/>
        <v>2.2461799999999998</v>
      </c>
      <c r="M45" s="422">
        <f t="shared" si="18"/>
        <v>2.1659999999999999</v>
      </c>
      <c r="N45" s="423">
        <f t="shared" si="19"/>
        <v>2.1635205759999998</v>
      </c>
      <c r="O45" s="43">
        <f t="shared" si="20"/>
        <v>33</v>
      </c>
      <c r="P45" s="26">
        <f t="shared" si="21"/>
        <v>964.30000000000007</v>
      </c>
      <c r="Q45" s="26">
        <f t="shared" si="22"/>
        <v>186.96960000000001</v>
      </c>
      <c r="R45" s="26">
        <f t="shared" si="23"/>
        <v>0.48620000000000002</v>
      </c>
      <c r="S45" s="26">
        <f t="shared" si="24"/>
        <v>7.0526965418741617E-4</v>
      </c>
      <c r="T45" s="44">
        <f t="shared" si="25"/>
        <v>0.97660000000000002</v>
      </c>
    </row>
    <row r="46" spans="2:25">
      <c r="B46" s="81" t="str">
        <f t="shared" si="11"/>
        <v>LSHFO S</v>
      </c>
      <c r="C46" s="82" t="s">
        <v>5</v>
      </c>
      <c r="D46" s="385" t="str">
        <f t="shared" si="30"/>
        <v>3,08 U</v>
      </c>
      <c r="E46" s="386">
        <f t="shared" si="31"/>
        <v>32</v>
      </c>
      <c r="F46" s="387">
        <f t="shared" si="31"/>
        <v>100</v>
      </c>
      <c r="G46" s="399" t="s">
        <v>32</v>
      </c>
      <c r="H46" s="398">
        <v>0</v>
      </c>
      <c r="I46" s="401">
        <f t="shared" si="15"/>
        <v>100</v>
      </c>
      <c r="J46" s="402">
        <f>IF(F46="","",T46)</f>
        <v>0.98799999999999999</v>
      </c>
      <c r="K46" s="392">
        <f t="shared" si="16"/>
        <v>0.96430000000000005</v>
      </c>
      <c r="L46" s="404">
        <f>IF(F46="","",I46*J46)</f>
        <v>98.8</v>
      </c>
      <c r="M46" s="422">
        <f t="shared" si="18"/>
        <v>95.272999999999996</v>
      </c>
      <c r="N46" s="423">
        <f>(K46-0.0011)*L46</f>
        <v>95.16416000000001</v>
      </c>
      <c r="O46" s="43">
        <f>E46-15</f>
        <v>17</v>
      </c>
      <c r="P46" s="26">
        <f>K46*1000</f>
        <v>964.30000000000007</v>
      </c>
      <c r="Q46" s="26">
        <f>IF(K46&gt;0.8385,186.9696,IF(K46&gt;0.7875,594.5418,IF(K46&gt;0.77,2680.3206,346.4228)))</f>
        <v>186.96960000000001</v>
      </c>
      <c r="R46" s="26">
        <f>IF(K46&gt;0.8385,0.4862,IF(K46&gt;0.7875,0,IF(K46&gt;0.77,-0.00336312,0.4388)))</f>
        <v>0.48620000000000002</v>
      </c>
      <c r="S46" s="26">
        <f>IF(OR(K46&gt;0.7876,K46=0.7876),(Q46/P46^2)+(R46/P46),IF(OR(K46&gt;0.7701,K46=0.7701),(Q46/P46^2)+R46,(Q46/P46^2)+(R46/P46)))</f>
        <v>7.0526965418741617E-4</v>
      </c>
      <c r="T46" s="44">
        <f t="shared" si="25"/>
        <v>0.98799999999999999</v>
      </c>
    </row>
    <row r="47" spans="2:25">
      <c r="B47" s="81" t="str">
        <f t="shared" si="11"/>
        <v>HFO SETT</v>
      </c>
      <c r="C47" s="82" t="s">
        <v>5</v>
      </c>
      <c r="D47" s="385" t="str">
        <f t="shared" si="30"/>
        <v>5,03 U</v>
      </c>
      <c r="E47" s="386">
        <f t="shared" si="31"/>
        <v>90</v>
      </c>
      <c r="F47" s="387">
        <f t="shared" si="31"/>
        <v>38.799999999999997</v>
      </c>
      <c r="G47" s="399" t="s">
        <v>32</v>
      </c>
      <c r="H47" s="398">
        <v>0</v>
      </c>
      <c r="I47" s="401">
        <f t="shared" si="15"/>
        <v>38.799999999999997</v>
      </c>
      <c r="J47" s="402">
        <f t="shared" si="12"/>
        <v>0.94420000000000004</v>
      </c>
      <c r="K47" s="392">
        <f t="shared" si="16"/>
        <v>0.93530000000000002</v>
      </c>
      <c r="L47" s="404">
        <f t="shared" si="17"/>
        <v>36.63496</v>
      </c>
      <c r="M47" s="422">
        <f t="shared" si="18"/>
        <v>34.265000000000001</v>
      </c>
      <c r="N47" s="423">
        <f t="shared" si="19"/>
        <v>34.224379632000002</v>
      </c>
      <c r="O47" s="43">
        <f t="shared" si="20"/>
        <v>75</v>
      </c>
      <c r="P47" s="26">
        <f t="shared" si="21"/>
        <v>935.30000000000007</v>
      </c>
      <c r="Q47" s="26">
        <f t="shared" si="22"/>
        <v>186.96960000000001</v>
      </c>
      <c r="R47" s="26">
        <f t="shared" si="23"/>
        <v>0.48620000000000002</v>
      </c>
      <c r="S47" s="26">
        <f t="shared" si="24"/>
        <v>7.3356500215955654E-4</v>
      </c>
      <c r="T47" s="44">
        <f t="shared" si="25"/>
        <v>0.94420000000000004</v>
      </c>
    </row>
    <row r="48" spans="2:25">
      <c r="B48" s="81" t="str">
        <f t="shared" si="11"/>
        <v>HFO SERV</v>
      </c>
      <c r="C48" s="82" t="s">
        <v>5</v>
      </c>
      <c r="D48" s="385" t="str">
        <f t="shared" si="30"/>
        <v>3,03 U</v>
      </c>
      <c r="E48" s="386">
        <f t="shared" si="31"/>
        <v>89</v>
      </c>
      <c r="F48" s="387">
        <f t="shared" si="31"/>
        <v>58.2</v>
      </c>
      <c r="G48" s="399" t="s">
        <v>32</v>
      </c>
      <c r="H48" s="398">
        <v>0</v>
      </c>
      <c r="I48" s="401">
        <f t="shared" si="15"/>
        <v>58.2</v>
      </c>
      <c r="J48" s="402">
        <f t="shared" si="12"/>
        <v>0.94489999999999996</v>
      </c>
      <c r="K48" s="392">
        <f t="shared" si="16"/>
        <v>0.93530000000000002</v>
      </c>
      <c r="L48" s="404">
        <f t="shared" si="17"/>
        <v>54.993180000000002</v>
      </c>
      <c r="M48" s="422">
        <f t="shared" si="18"/>
        <v>51.435000000000002</v>
      </c>
      <c r="N48" s="423">
        <f t="shared" si="19"/>
        <v>51.374628756000007</v>
      </c>
      <c r="O48" s="43">
        <f t="shared" si="20"/>
        <v>74</v>
      </c>
      <c r="P48" s="26">
        <f t="shared" si="21"/>
        <v>935.30000000000007</v>
      </c>
      <c r="Q48" s="26">
        <f t="shared" si="22"/>
        <v>186.96960000000001</v>
      </c>
      <c r="R48" s="26">
        <f t="shared" si="23"/>
        <v>0.48620000000000002</v>
      </c>
      <c r="S48" s="26">
        <f t="shared" si="24"/>
        <v>7.3356500215955654E-4</v>
      </c>
      <c r="T48" s="44">
        <f t="shared" si="25"/>
        <v>0.94489999999999996</v>
      </c>
    </row>
    <row r="49" spans="2:22">
      <c r="B49" s="81" t="str">
        <f t="shared" si="11"/>
        <v>LSFO SETT</v>
      </c>
      <c r="C49" s="82" t="s">
        <v>5</v>
      </c>
      <c r="D49" s="385" t="str">
        <f t="shared" si="30"/>
        <v>6,28 U</v>
      </c>
      <c r="E49" s="386">
        <f t="shared" si="31"/>
        <v>48</v>
      </c>
      <c r="F49" s="387">
        <f t="shared" si="31"/>
        <v>18.3</v>
      </c>
      <c r="G49" s="399" t="s">
        <v>32</v>
      </c>
      <c r="H49" s="398">
        <v>0</v>
      </c>
      <c r="I49" s="401">
        <f t="shared" si="15"/>
        <v>18.3</v>
      </c>
      <c r="J49" s="402">
        <f t="shared" si="12"/>
        <v>0.9758</v>
      </c>
      <c r="K49" s="392">
        <f t="shared" si="16"/>
        <v>0.94189999999999996</v>
      </c>
      <c r="L49" s="404">
        <f t="shared" si="17"/>
        <v>17.857140000000001</v>
      </c>
      <c r="M49" s="422">
        <f t="shared" si="18"/>
        <v>16.82</v>
      </c>
      <c r="N49" s="423">
        <f t="shared" si="19"/>
        <v>16.799997312000002</v>
      </c>
      <c r="O49" s="43">
        <f t="shared" si="20"/>
        <v>33</v>
      </c>
      <c r="P49" s="26">
        <f t="shared" si="21"/>
        <v>941.9</v>
      </c>
      <c r="Q49" s="26">
        <f t="shared" si="22"/>
        <v>186.96960000000001</v>
      </c>
      <c r="R49" s="26">
        <f t="shared" si="23"/>
        <v>0.48620000000000002</v>
      </c>
      <c r="S49" s="26">
        <f t="shared" si="24"/>
        <v>7.2693768035394938E-4</v>
      </c>
      <c r="T49" s="44">
        <f t="shared" si="25"/>
        <v>0.9758</v>
      </c>
    </row>
    <row r="50" spans="2:22">
      <c r="B50" s="81" t="str">
        <f t="shared" si="11"/>
        <v>LSFO SERV</v>
      </c>
      <c r="C50" s="82" t="s">
        <v>5</v>
      </c>
      <c r="D50" s="385">
        <f t="shared" si="30"/>
        <v>0</v>
      </c>
      <c r="E50" s="386">
        <f t="shared" si="31"/>
        <v>62</v>
      </c>
      <c r="F50" s="387">
        <f t="shared" si="31"/>
        <v>0.3</v>
      </c>
      <c r="G50" s="399" t="s">
        <v>32</v>
      </c>
      <c r="H50" s="398">
        <v>0</v>
      </c>
      <c r="I50" s="401">
        <f t="shared" si="15"/>
        <v>0.3</v>
      </c>
      <c r="J50" s="402">
        <f t="shared" si="12"/>
        <v>0.96550000000000002</v>
      </c>
      <c r="K50" s="392">
        <f t="shared" si="16"/>
        <v>0.94189999999999996</v>
      </c>
      <c r="L50" s="404">
        <f t="shared" si="17"/>
        <v>0.28965000000000002</v>
      </c>
      <c r="M50" s="422">
        <f t="shared" si="18"/>
        <v>0.27300000000000002</v>
      </c>
      <c r="N50" s="423">
        <f t="shared" si="19"/>
        <v>0.27250272000000003</v>
      </c>
      <c r="O50" s="43">
        <f t="shared" si="20"/>
        <v>47</v>
      </c>
      <c r="P50" s="26">
        <f t="shared" si="21"/>
        <v>941.9</v>
      </c>
      <c r="Q50" s="26">
        <f t="shared" si="22"/>
        <v>186.96960000000001</v>
      </c>
      <c r="R50" s="26">
        <f t="shared" si="23"/>
        <v>0.48620000000000002</v>
      </c>
      <c r="S50" s="26">
        <f t="shared" si="24"/>
        <v>7.2693768035394938E-4</v>
      </c>
      <c r="T50" s="44">
        <f t="shared" si="25"/>
        <v>0.96550000000000002</v>
      </c>
    </row>
    <row r="51" spans="2:22" ht="13.5" thickBot="1">
      <c r="B51" s="81" t="str">
        <f t="shared" si="11"/>
        <v>OVERFLOW</v>
      </c>
      <c r="C51" s="82" t="s">
        <v>5</v>
      </c>
      <c r="D51" s="385">
        <f t="shared" si="30"/>
        <v>0.36</v>
      </c>
      <c r="E51" s="386">
        <f t="shared" si="31"/>
        <v>30</v>
      </c>
      <c r="F51" s="387">
        <f t="shared" si="31"/>
        <v>2.4</v>
      </c>
      <c r="G51" s="410" t="s">
        <v>32</v>
      </c>
      <c r="H51" s="409">
        <v>0</v>
      </c>
      <c r="I51" s="401">
        <f>IF(F51="","",F51-H51)</f>
        <v>2.4</v>
      </c>
      <c r="J51" s="402">
        <f>IF(F51="","",T51)</f>
        <v>0.98899999999999999</v>
      </c>
      <c r="K51" s="392">
        <f t="shared" si="16"/>
        <v>0.93530000000000002</v>
      </c>
      <c r="L51" s="404">
        <f>IF(F51="","",I51*J51)</f>
        <v>2.3735999999999997</v>
      </c>
      <c r="M51" s="422">
        <f t="shared" si="18"/>
        <v>2.2200000000000002</v>
      </c>
      <c r="N51" s="423">
        <f>(K51-0.0011)*L51</f>
        <v>2.2174171199999999</v>
      </c>
      <c r="O51" s="43">
        <f>E51-15</f>
        <v>15</v>
      </c>
      <c r="P51" s="26">
        <f>K51*1000</f>
        <v>935.30000000000007</v>
      </c>
      <c r="Q51" s="26">
        <f>IF(K51&gt;0.8385,186.9696,IF(K51&gt;0.7875,594.5418,IF(K51&gt;0.77,2680.3206,346.4228)))</f>
        <v>186.96960000000001</v>
      </c>
      <c r="R51" s="26">
        <f>IF(K51&gt;0.8385,0.4862,IF(K51&gt;0.7875,0,IF(K51&gt;0.77,-0.00336312,0.4388)))</f>
        <v>0.48620000000000002</v>
      </c>
      <c r="S51" s="26">
        <f>IF(OR(K51&gt;0.7876,K51=0.7876),(Q51/P51^2)+(R51/P51),IF(OR(K51&gt;0.7701,K51=0.7701),(Q51/P51^2)+R51,(Q51/P51^2)+(R51/P51)))</f>
        <v>7.3356500215955654E-4</v>
      </c>
      <c r="T51" s="44">
        <f>ROUND(EXP(-S51*O51*(1+0.8*S51*O51)),4)</f>
        <v>0.98899999999999999</v>
      </c>
    </row>
    <row r="52" spans="2:22" ht="13.5" hidden="1" thickBot="1">
      <c r="B52" s="81">
        <f t="shared" si="11"/>
        <v>4</v>
      </c>
      <c r="C52" s="82" t="s">
        <v>5</v>
      </c>
      <c r="D52" s="174">
        <v>0</v>
      </c>
      <c r="E52" s="172">
        <v>0</v>
      </c>
      <c r="F52" s="173">
        <v>0</v>
      </c>
      <c r="G52" s="106" t="s">
        <v>32</v>
      </c>
      <c r="H52" s="107">
        <v>0</v>
      </c>
      <c r="I52" s="98">
        <f t="shared" si="15"/>
        <v>0</v>
      </c>
      <c r="J52" s="97">
        <f t="shared" si="12"/>
        <v>1.0115000000000001</v>
      </c>
      <c r="K52" s="177">
        <f t="shared" ref="K52" si="32">K32</f>
        <v>0.9</v>
      </c>
      <c r="L52" s="90">
        <f t="shared" si="17"/>
        <v>0</v>
      </c>
      <c r="M52" s="102">
        <f t="shared" si="18"/>
        <v>0</v>
      </c>
      <c r="N52" s="103">
        <f t="shared" si="19"/>
        <v>0</v>
      </c>
      <c r="O52" s="43">
        <f t="shared" si="20"/>
        <v>-15</v>
      </c>
      <c r="P52" s="26">
        <f t="shared" si="21"/>
        <v>900</v>
      </c>
      <c r="Q52" s="26">
        <f t="shared" si="22"/>
        <v>186.96960000000001</v>
      </c>
      <c r="R52" s="26">
        <f t="shared" si="23"/>
        <v>0.48620000000000002</v>
      </c>
      <c r="S52" s="26">
        <f t="shared" si="24"/>
        <v>7.7104888888888891E-4</v>
      </c>
      <c r="T52" s="44">
        <f t="shared" si="25"/>
        <v>1.0115000000000001</v>
      </c>
    </row>
    <row r="53" spans="2:22" ht="13.5" thickBot="1">
      <c r="B53" s="268" t="s">
        <v>43</v>
      </c>
      <c r="C53" s="269"/>
      <c r="D53" s="269"/>
      <c r="E53" s="269"/>
      <c r="F53" s="270"/>
      <c r="G53" s="104"/>
      <c r="H53" s="104"/>
      <c r="I53" s="165">
        <f>SUM(I41:I52)</f>
        <v>1147.58</v>
      </c>
      <c r="J53" s="83"/>
      <c r="K53" s="77"/>
      <c r="L53" s="154">
        <f>SUM(L41:L50)</f>
        <v>1127.3178559999999</v>
      </c>
      <c r="M53" s="166">
        <f>SUM(M41:M50)</f>
        <v>1080.7759999999998</v>
      </c>
      <c r="N53" s="167">
        <f>SUM(N41:N51)</f>
        <v>1081.7532470440001</v>
      </c>
      <c r="O53" s="42">
        <f>SUM(O41:O52)</f>
        <v>352.6</v>
      </c>
    </row>
    <row r="54" spans="2:22">
      <c r="I54" s="76"/>
      <c r="J54" s="47"/>
      <c r="K54" s="47"/>
      <c r="L54" s="76"/>
      <c r="M54" s="46"/>
      <c r="N54" s="46"/>
      <c r="O54" s="42"/>
    </row>
    <row r="55" spans="2:22">
      <c r="O55" s="46"/>
    </row>
    <row r="56" spans="2:22">
      <c r="B56" s="25" t="s">
        <v>44</v>
      </c>
      <c r="O56" s="44"/>
    </row>
    <row r="57" spans="2:22">
      <c r="B57" s="26" t="s">
        <v>45</v>
      </c>
      <c r="D57" s="55" t="s">
        <v>145</v>
      </c>
      <c r="E57" s="55"/>
      <c r="F57" s="55"/>
      <c r="K57" s="65"/>
      <c r="L57" s="283" t="s">
        <v>46</v>
      </c>
      <c r="M57" s="283"/>
      <c r="N57" s="283"/>
    </row>
    <row r="58" spans="2:22" ht="14.25">
      <c r="B58" s="26" t="s">
        <v>47</v>
      </c>
      <c r="D58" s="55" t="s">
        <v>48</v>
      </c>
      <c r="E58" s="55"/>
      <c r="F58" s="55"/>
      <c r="L58" s="148" t="s">
        <v>49</v>
      </c>
      <c r="M58" s="227">
        <v>100.542</v>
      </c>
      <c r="N58" s="148" t="s">
        <v>50</v>
      </c>
      <c r="P58" s="34"/>
    </row>
    <row r="59" spans="2:22" ht="14.25">
      <c r="B59" s="26" t="s">
        <v>51</v>
      </c>
      <c r="D59" s="26" t="s">
        <v>5</v>
      </c>
      <c r="L59" s="149" t="s">
        <v>52</v>
      </c>
      <c r="M59" s="168">
        <f>N53-N33</f>
        <v>100.23166914559988</v>
      </c>
      <c r="N59" s="149" t="s">
        <v>50</v>
      </c>
    </row>
    <row r="60" spans="2:22" ht="14.25">
      <c r="B60" s="26" t="s">
        <v>53</v>
      </c>
      <c r="D60" s="33" t="s">
        <v>54</v>
      </c>
      <c r="E60" s="199"/>
      <c r="F60" s="200"/>
      <c r="G60" s="200"/>
      <c r="H60" s="200"/>
      <c r="L60" s="152" t="s">
        <v>55</v>
      </c>
      <c r="M60" s="153">
        <f>M59-M58</f>
        <v>-0.31033085440012087</v>
      </c>
      <c r="N60" s="152" t="s">
        <v>50</v>
      </c>
    </row>
    <row r="61" spans="2:22" ht="14.25">
      <c r="G61" s="109"/>
      <c r="H61" s="109"/>
      <c r="I61" s="109"/>
      <c r="L61" s="150"/>
      <c r="M61" s="151">
        <f>(M60/M59)*100</f>
        <v>-0.30961357527561856</v>
      </c>
      <c r="N61" s="150" t="s">
        <v>56</v>
      </c>
    </row>
    <row r="62" spans="2:22" ht="15.75">
      <c r="F62" s="276"/>
      <c r="G62" s="276"/>
      <c r="H62" s="276"/>
      <c r="I62" s="47"/>
      <c r="J62" s="47"/>
      <c r="V62" s="47"/>
    </row>
    <row r="63" spans="2:22">
      <c r="C63" s="64"/>
      <c r="D63" s="64"/>
      <c r="E63" s="64"/>
      <c r="J63" s="64"/>
      <c r="K63" s="64"/>
      <c r="O63" s="284"/>
      <c r="P63" s="284"/>
      <c r="V63" s="47"/>
    </row>
    <row r="64" spans="2:22" ht="12.75" customHeight="1">
      <c r="F64" s="110"/>
    </row>
    <row r="65" spans="3:14" ht="12.75" customHeight="1">
      <c r="C65" s="110"/>
      <c r="D65" s="110"/>
      <c r="E65" s="110"/>
      <c r="F65" s="110"/>
      <c r="G65" s="110"/>
      <c r="H65" s="110"/>
      <c r="I65" s="110"/>
      <c r="J65" s="110"/>
      <c r="K65" s="110"/>
    </row>
    <row r="66" spans="3:14" ht="12.75" customHeight="1">
      <c r="F66" s="110"/>
    </row>
    <row r="67" spans="3:14" ht="15.75"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73"/>
    </row>
    <row r="68" spans="3:14" ht="15.75">
      <c r="C68" s="110"/>
      <c r="D68" s="110"/>
      <c r="E68" s="110"/>
      <c r="F68" s="110"/>
      <c r="G68" s="110"/>
      <c r="H68" s="110"/>
      <c r="I68" s="110"/>
      <c r="J68" s="110"/>
      <c r="K68" s="110"/>
      <c r="L68"/>
      <c r="M68" s="110"/>
      <c r="N68" s="73"/>
    </row>
    <row r="69" spans="3:14" ht="15.75"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73"/>
    </row>
    <row r="74" spans="3:14">
      <c r="C74" s="39" t="s">
        <v>57</v>
      </c>
      <c r="D74" s="39"/>
      <c r="E74" s="273" t="s">
        <v>180</v>
      </c>
      <c r="F74" s="273"/>
      <c r="G74" s="273"/>
      <c r="K74" s="39" t="s">
        <v>58</v>
      </c>
      <c r="L74" s="261" t="s">
        <v>142</v>
      </c>
      <c r="M74" s="261"/>
      <c r="N74" s="261"/>
    </row>
  </sheetData>
  <sheetProtection selectLockedCells="1"/>
  <mergeCells count="41">
    <mergeCell ref="H2:N2"/>
    <mergeCell ref="H3:N3"/>
    <mergeCell ref="H4:N4"/>
    <mergeCell ref="H5:L5"/>
    <mergeCell ref="M19:M20"/>
    <mergeCell ref="N19:N20"/>
    <mergeCell ref="B6:L6"/>
    <mergeCell ref="D11:E11"/>
    <mergeCell ref="M18:N18"/>
    <mergeCell ref="B19:B20"/>
    <mergeCell ref="C19:C20"/>
    <mergeCell ref="O63:P63"/>
    <mergeCell ref="G39:H39"/>
    <mergeCell ref="G19:H19"/>
    <mergeCell ref="D19:D20"/>
    <mergeCell ref="F19:F20"/>
    <mergeCell ref="I19:I20"/>
    <mergeCell ref="L19:L20"/>
    <mergeCell ref="J19:J20"/>
    <mergeCell ref="E39:E40"/>
    <mergeCell ref="D39:D40"/>
    <mergeCell ref="E19:E20"/>
    <mergeCell ref="J33:K33"/>
    <mergeCell ref="G33:H33"/>
    <mergeCell ref="B33:F33"/>
    <mergeCell ref="K19:K20"/>
    <mergeCell ref="K39:K40"/>
    <mergeCell ref="C39:C40"/>
    <mergeCell ref="L74:N74"/>
    <mergeCell ref="M38:N38"/>
    <mergeCell ref="M39:M40"/>
    <mergeCell ref="N39:N40"/>
    <mergeCell ref="B53:F53"/>
    <mergeCell ref="J39:J40"/>
    <mergeCell ref="E74:G74"/>
    <mergeCell ref="I39:I40"/>
    <mergeCell ref="F62:H62"/>
    <mergeCell ref="F39:F40"/>
    <mergeCell ref="B39:B40"/>
    <mergeCell ref="L39:L40"/>
    <mergeCell ref="L57:N57"/>
  </mergeCells>
  <phoneticPr fontId="0" type="noConversion"/>
  <hyperlinks>
    <hyperlink ref="H4" r:id="rId1" xr:uid="{00000000-0004-0000-0000-000000000000}"/>
  </hyperlinks>
  <printOptions horizontalCentered="1"/>
  <pageMargins left="0.31496062992125984" right="0.23622047244094491" top="0.98425196850393704" bottom="0.98425196850393704" header="0.51181102362204722" footer="0.51181102362204722"/>
  <pageSetup paperSize="9" scale="71" orientation="portrait" blackAndWhite="1" horizontalDpi="300" verticalDpi="300" r:id="rId2"/>
  <headerFooter alignWithMargins="0"/>
  <ignoredErrors>
    <ignoredError sqref="N33" formula="1"/>
    <ignoredError sqref="B41:B51 D42 D43:D51 E42:E51 F42:F5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65"/>
  <sheetViews>
    <sheetView showGridLines="0" tabSelected="1" topLeftCell="A16" zoomScaleNormal="100" zoomScaleSheetLayoutView="100" workbookViewId="0">
      <selection activeCell="Y36" sqref="Y36"/>
    </sheetView>
  </sheetViews>
  <sheetFormatPr defaultColWidth="9.1328125" defaultRowHeight="13.15"/>
  <cols>
    <col min="1" max="1" width="1" style="26" customWidth="1"/>
    <col min="2" max="2" width="9.3984375" style="26" customWidth="1"/>
    <col min="3" max="3" width="7.73046875" style="26" customWidth="1"/>
    <col min="4" max="4" width="8" style="26" customWidth="1"/>
    <col min="5" max="5" width="8.3984375" style="26" customWidth="1"/>
    <col min="6" max="6" width="9.3984375" style="26" customWidth="1"/>
    <col min="7" max="7" width="5" style="26" customWidth="1"/>
    <col min="8" max="8" width="7" style="26" customWidth="1"/>
    <col min="9" max="9" width="9.265625" style="26" customWidth="1"/>
    <col min="10" max="10" width="9.86328125" style="26" customWidth="1"/>
    <col min="11" max="11" width="11.1328125" style="26" customWidth="1"/>
    <col min="12" max="12" width="10.1328125" style="26" customWidth="1"/>
    <col min="13" max="13" width="9.265625" style="26" customWidth="1"/>
    <col min="14" max="14" width="8.86328125" style="26" bestFit="1" customWidth="1"/>
    <col min="15" max="15" width="10.3984375" style="26" hidden="1" customWidth="1"/>
    <col min="16" max="16" width="10.86328125" style="26" hidden="1" customWidth="1"/>
    <col min="17" max="17" width="9.86328125" style="26" hidden="1" customWidth="1"/>
    <col min="18" max="18" width="11.1328125" style="26" hidden="1" customWidth="1"/>
    <col min="19" max="19" width="11.73046875" style="26" hidden="1" customWidth="1"/>
    <col min="20" max="20" width="8.59765625" style="26" hidden="1" customWidth="1"/>
    <col min="21" max="21" width="4.86328125" style="26" customWidth="1"/>
    <col min="22" max="16384" width="9.1328125" style="26"/>
  </cols>
  <sheetData>
    <row r="1" spans="2:14" ht="12.75" customHeight="1">
      <c r="B1" s="25"/>
      <c r="C1" s="25"/>
      <c r="D1" s="25"/>
      <c r="E1" s="25"/>
      <c r="F1" s="25"/>
      <c r="G1" s="25"/>
      <c r="H1" s="251"/>
      <c r="I1" s="251"/>
      <c r="J1" s="251"/>
      <c r="K1" s="251"/>
      <c r="L1" s="251"/>
      <c r="M1" s="251"/>
      <c r="N1" s="74"/>
    </row>
    <row r="2" spans="2:14" ht="12.75" customHeight="1">
      <c r="B2" s="25"/>
      <c r="C2" s="25"/>
      <c r="D2" s="25"/>
      <c r="E2" s="25"/>
      <c r="F2" s="25"/>
      <c r="G2" s="25"/>
      <c r="H2" s="251" t="s">
        <v>0</v>
      </c>
      <c r="I2" s="251"/>
      <c r="J2" s="251"/>
      <c r="K2" s="251"/>
      <c r="L2" s="251"/>
      <c r="M2" s="251"/>
      <c r="N2" s="251"/>
    </row>
    <row r="3" spans="2:14" ht="12.75" customHeight="1">
      <c r="B3" s="49"/>
      <c r="C3" s="49"/>
      <c r="D3" s="49"/>
      <c r="E3" s="49"/>
      <c r="F3" s="49"/>
      <c r="G3" s="49"/>
      <c r="H3" s="128"/>
      <c r="I3" s="254" t="s">
        <v>141</v>
      </c>
      <c r="J3" s="254"/>
      <c r="K3" s="254"/>
      <c r="L3" s="254"/>
      <c r="M3" s="254"/>
      <c r="N3" s="254"/>
    </row>
    <row r="4" spans="2:14" ht="12.75" customHeight="1">
      <c r="B4" s="49"/>
      <c r="C4" s="49"/>
      <c r="D4" s="49"/>
      <c r="E4" s="49"/>
      <c r="F4" s="49"/>
      <c r="G4" s="49"/>
      <c r="H4" s="255" t="s">
        <v>1</v>
      </c>
      <c r="I4" s="255"/>
      <c r="J4" s="255"/>
      <c r="K4" s="255"/>
      <c r="L4" s="255"/>
      <c r="M4" s="255"/>
      <c r="N4" s="255"/>
    </row>
    <row r="5" spans="2:14" ht="12.75" customHeight="1">
      <c r="B5" s="49"/>
      <c r="C5" s="49"/>
      <c r="D5" s="49"/>
      <c r="E5" s="49"/>
      <c r="F5" s="49"/>
      <c r="G5" s="49"/>
      <c r="H5" s="256"/>
      <c r="I5" s="256"/>
      <c r="J5" s="256"/>
      <c r="K5" s="256"/>
      <c r="L5" s="256"/>
      <c r="M5" s="256"/>
      <c r="N5" s="75"/>
    </row>
    <row r="6" spans="2:14" ht="12.75" customHeight="1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2:14">
      <c r="B7" s="253" t="s">
        <v>59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</row>
    <row r="9" spans="2:14">
      <c r="B9" s="26" t="s">
        <v>3</v>
      </c>
      <c r="D9" s="26" t="str">
        <f>'Vessel Ullage'!D8</f>
        <v>CAPE KENNEDY</v>
      </c>
      <c r="H9" s="35" t="s">
        <v>4</v>
      </c>
      <c r="J9" s="26" t="str">
        <f>'Vessel Ullage'!J8</f>
        <v>VLSFO 0.5% S</v>
      </c>
    </row>
    <row r="10" spans="2:14">
      <c r="H10" s="26" t="s">
        <v>6</v>
      </c>
      <c r="J10" s="26" t="str">
        <f>'Vessel Ullage'!J9</f>
        <v>Paranagua Port - Shed 212</v>
      </c>
    </row>
    <row r="11" spans="2:14">
      <c r="B11" s="26" t="s">
        <v>7</v>
      </c>
      <c r="D11" s="57" t="str">
        <f>'Vessel Ullage'!D10</f>
        <v>OMS V</v>
      </c>
      <c r="E11" s="57"/>
      <c r="H11" s="26" t="s">
        <v>8</v>
      </c>
      <c r="J11" s="26" t="str">
        <f>'Vessel Ullage'!J10</f>
        <v>April 14th, 2026</v>
      </c>
    </row>
    <row r="12" spans="2:14">
      <c r="D12" s="252"/>
      <c r="E12" s="252"/>
      <c r="H12" s="26" t="s">
        <v>9</v>
      </c>
      <c r="J12" s="210" t="str">
        <f>'Vessel Ullage'!J11</f>
        <v>16:50 x 22:00 h/LT</v>
      </c>
    </row>
    <row r="13" spans="2:14">
      <c r="J13" s="252"/>
      <c r="K13" s="252"/>
      <c r="L13" s="252"/>
    </row>
    <row r="14" spans="2:14">
      <c r="J14" s="33"/>
      <c r="K14" s="33"/>
      <c r="L14" s="33"/>
    </row>
    <row r="15" spans="2:14" ht="13.5" thickBot="1"/>
    <row r="16" spans="2:14" ht="15" thickBot="1">
      <c r="B16" s="234" t="s">
        <v>60</v>
      </c>
      <c r="C16" s="235"/>
      <c r="D16" s="235"/>
      <c r="E16" s="235"/>
      <c r="F16" s="235"/>
      <c r="G16" s="235"/>
      <c r="H16" s="235"/>
      <c r="I16" s="236"/>
      <c r="J16" s="130" t="s">
        <v>61</v>
      </c>
      <c r="K16" s="257" t="s">
        <v>54</v>
      </c>
      <c r="L16" s="258"/>
      <c r="M16" s="258"/>
      <c r="N16" s="114" t="s">
        <v>62</v>
      </c>
    </row>
    <row r="17" spans="2:20" s="50" customFormat="1" ht="13.5" thickBot="1">
      <c r="B17" s="27" t="s">
        <v>11</v>
      </c>
      <c r="C17" s="212">
        <v>2.2000000000000002</v>
      </c>
      <c r="D17" s="28" t="s">
        <v>12</v>
      </c>
      <c r="E17" s="28" t="s">
        <v>13</v>
      </c>
      <c r="F17" s="213">
        <v>2.2999999999999998</v>
      </c>
      <c r="G17" s="28" t="s">
        <v>12</v>
      </c>
      <c r="H17" s="28" t="s">
        <v>14</v>
      </c>
      <c r="I17" s="132">
        <v>0</v>
      </c>
      <c r="J17" s="49" t="s">
        <v>15</v>
      </c>
      <c r="K17" s="25"/>
      <c r="L17" s="133" t="s">
        <v>63</v>
      </c>
      <c r="M17" s="228" t="s">
        <v>17</v>
      </c>
      <c r="N17" s="229"/>
      <c r="O17" s="26"/>
      <c r="P17" s="26"/>
      <c r="Q17" s="26"/>
      <c r="R17" s="26"/>
      <c r="S17" s="26"/>
      <c r="T17" s="26"/>
    </row>
    <row r="18" spans="2:20" s="35" customFormat="1">
      <c r="B18" s="429" t="s">
        <v>18</v>
      </c>
      <c r="C18" s="430" t="s">
        <v>19</v>
      </c>
      <c r="D18" s="431" t="s">
        <v>64</v>
      </c>
      <c r="E18" s="431" t="s">
        <v>40</v>
      </c>
      <c r="F18" s="432" t="s">
        <v>65</v>
      </c>
      <c r="G18" s="433" t="s">
        <v>23</v>
      </c>
      <c r="H18" s="434"/>
      <c r="I18" s="431" t="s">
        <v>24</v>
      </c>
      <c r="J18" s="431" t="s">
        <v>25</v>
      </c>
      <c r="K18" s="431" t="s">
        <v>66</v>
      </c>
      <c r="L18" s="435" t="s">
        <v>67</v>
      </c>
      <c r="M18" s="436" t="s">
        <v>28</v>
      </c>
      <c r="N18" s="437" t="s">
        <v>29</v>
      </c>
      <c r="O18" s="26"/>
      <c r="P18" s="26"/>
      <c r="Q18" s="26"/>
      <c r="R18" s="26"/>
      <c r="S18" s="26"/>
      <c r="T18" s="26"/>
    </row>
    <row r="19" spans="2:20" s="35" customFormat="1" ht="13.5" thickBot="1">
      <c r="B19" s="438"/>
      <c r="C19" s="439"/>
      <c r="D19" s="440"/>
      <c r="E19" s="440"/>
      <c r="F19" s="441"/>
      <c r="G19" s="442" t="s">
        <v>30</v>
      </c>
      <c r="H19" s="442" t="s">
        <v>31</v>
      </c>
      <c r="I19" s="440"/>
      <c r="J19" s="440"/>
      <c r="K19" s="440"/>
      <c r="L19" s="443"/>
      <c r="M19" s="444"/>
      <c r="N19" s="445"/>
      <c r="O19" s="26"/>
      <c r="P19" s="26"/>
      <c r="Q19" s="26"/>
      <c r="R19" s="26"/>
      <c r="S19" s="26"/>
      <c r="T19" s="26"/>
    </row>
    <row r="20" spans="2:20">
      <c r="B20" s="117" t="s">
        <v>157</v>
      </c>
      <c r="C20" s="214" t="s">
        <v>5</v>
      </c>
      <c r="D20" s="201">
        <v>2.9460000000000002</v>
      </c>
      <c r="E20" s="206">
        <v>42</v>
      </c>
      <c r="F20" s="201">
        <v>205.08500000000001</v>
      </c>
      <c r="G20" s="135" t="s">
        <v>32</v>
      </c>
      <c r="H20" s="136">
        <v>0</v>
      </c>
      <c r="I20" s="413">
        <f t="shared" ref="I20:I27" si="0">IF(F20="","",F20-H20)</f>
        <v>205.08500000000001</v>
      </c>
      <c r="J20" s="414">
        <f t="shared" ref="J20:J27" si="1">IF(F20="","",T20)</f>
        <v>0.98009999999999997</v>
      </c>
      <c r="K20" s="415">
        <f>B47</f>
        <v>0.93500000000000005</v>
      </c>
      <c r="L20" s="416">
        <f t="shared" ref="L20:L27" si="2">IF(F20="","",I20*J20)</f>
        <v>201.00380849999999</v>
      </c>
      <c r="M20" s="417">
        <f t="shared" ref="M20:M27" si="3">IF(B20="","",ROUND(SUM(L20*K20),3))</f>
        <v>187.93899999999999</v>
      </c>
      <c r="N20" s="418">
        <f t="shared" ref="N20:N27" si="4">(K20-0.0011)*L20</f>
        <v>187.71745675815001</v>
      </c>
      <c r="O20" s="43">
        <f>IF(E20="","",E20-15)</f>
        <v>27</v>
      </c>
      <c r="P20" s="26">
        <f t="shared" ref="P20:P27" si="5">K20*1000</f>
        <v>935</v>
      </c>
      <c r="Q20" s="26">
        <f t="shared" ref="Q20:Q27" si="6">IF(K20&gt;0.8385,186.9696,IF(K20&gt;0.7875,594.5418,IF(K20&gt;0.77,2680.3206,346.4228)))</f>
        <v>186.96960000000001</v>
      </c>
      <c r="R20" s="26">
        <f t="shared" ref="R20:R27" si="7">IF(K20&gt;0.8385,0.4862,IF(K20&gt;0.7875,0,IF(K20&gt;0.77,-0.00336312,0.4388)))</f>
        <v>0.48620000000000002</v>
      </c>
      <c r="S20" s="26">
        <f t="shared" ref="S20:S27" si="8">IF(OR(K20&gt;0.7876,K20=0.7876),(Q20/P20^2)+(R20/P20),IF(OR(K20&gt;0.7701,K20=0.7701),(Q20/P20^2)+R20,(Q20/P20^2)+(R20/P20)))</f>
        <v>7.3386896965884079E-4</v>
      </c>
      <c r="T20" s="44">
        <f t="shared" ref="T20:T27" si="9">ROUND(EXP(-S20*O20*(1+0.8*S20*O20)),4)</f>
        <v>0.98009999999999997</v>
      </c>
    </row>
    <row r="21" spans="2:20">
      <c r="B21" s="115" t="s">
        <v>151</v>
      </c>
      <c r="C21" s="215" t="s">
        <v>5</v>
      </c>
      <c r="D21" s="202">
        <v>4.3899999999999997</v>
      </c>
      <c r="E21" s="206">
        <v>44</v>
      </c>
      <c r="F21" s="202">
        <v>97.191000000000003</v>
      </c>
      <c r="G21" s="72" t="s">
        <v>32</v>
      </c>
      <c r="H21" s="95">
        <v>0</v>
      </c>
      <c r="I21" s="419">
        <f t="shared" si="0"/>
        <v>97.191000000000003</v>
      </c>
      <c r="J21" s="420">
        <f t="shared" si="1"/>
        <v>0.97860000000000003</v>
      </c>
      <c r="K21" s="415">
        <f>K20</f>
        <v>0.93500000000000005</v>
      </c>
      <c r="L21" s="421">
        <f t="shared" si="2"/>
        <v>95.111112599999998</v>
      </c>
      <c r="M21" s="422">
        <f t="shared" si="3"/>
        <v>88.929000000000002</v>
      </c>
      <c r="N21" s="423">
        <f t="shared" si="4"/>
        <v>88.824268057140003</v>
      </c>
      <c r="O21" s="43">
        <f t="shared" ref="O21:O27" si="10">E21-15</f>
        <v>29</v>
      </c>
      <c r="P21" s="26">
        <f t="shared" si="5"/>
        <v>935</v>
      </c>
      <c r="Q21" s="26">
        <f t="shared" si="6"/>
        <v>186.96960000000001</v>
      </c>
      <c r="R21" s="26">
        <f t="shared" si="7"/>
        <v>0.48620000000000002</v>
      </c>
      <c r="S21" s="26">
        <f t="shared" si="8"/>
        <v>7.3386896965884079E-4</v>
      </c>
      <c r="T21" s="44">
        <f t="shared" si="9"/>
        <v>0.97860000000000003</v>
      </c>
    </row>
    <row r="22" spans="2:20">
      <c r="B22" s="115" t="s">
        <v>152</v>
      </c>
      <c r="C22" s="215" t="s">
        <v>5</v>
      </c>
      <c r="D22" s="202">
        <v>4.343</v>
      </c>
      <c r="E22" s="206">
        <v>44</v>
      </c>
      <c r="F22" s="202">
        <v>50.152000000000001</v>
      </c>
      <c r="G22" s="72" t="s">
        <v>32</v>
      </c>
      <c r="H22" s="95">
        <v>0</v>
      </c>
      <c r="I22" s="419">
        <f t="shared" si="0"/>
        <v>50.152000000000001</v>
      </c>
      <c r="J22" s="420">
        <f t="shared" si="1"/>
        <v>0.97860000000000003</v>
      </c>
      <c r="K22" s="415">
        <f t="shared" ref="K22:K27" si="11">K21</f>
        <v>0.93500000000000005</v>
      </c>
      <c r="L22" s="421">
        <f t="shared" si="2"/>
        <v>49.078747200000002</v>
      </c>
      <c r="M22" s="422">
        <f t="shared" si="3"/>
        <v>45.889000000000003</v>
      </c>
      <c r="N22" s="423">
        <f t="shared" si="4"/>
        <v>45.834642010080003</v>
      </c>
      <c r="O22" s="43">
        <f t="shared" si="10"/>
        <v>29</v>
      </c>
      <c r="P22" s="26">
        <f t="shared" si="5"/>
        <v>935</v>
      </c>
      <c r="Q22" s="26">
        <f t="shared" si="6"/>
        <v>186.96960000000001</v>
      </c>
      <c r="R22" s="26">
        <f t="shared" si="7"/>
        <v>0.48620000000000002</v>
      </c>
      <c r="S22" s="26">
        <f t="shared" si="8"/>
        <v>7.3386896965884079E-4</v>
      </c>
      <c r="T22" s="44">
        <f t="shared" si="9"/>
        <v>0.97860000000000003</v>
      </c>
    </row>
    <row r="23" spans="2:20">
      <c r="B23" s="115" t="s">
        <v>153</v>
      </c>
      <c r="C23" s="215" t="s">
        <v>5</v>
      </c>
      <c r="D23" s="202">
        <v>2.931</v>
      </c>
      <c r="E23" s="206">
        <v>42</v>
      </c>
      <c r="F23" s="202">
        <v>210.42500000000001</v>
      </c>
      <c r="G23" s="72" t="s">
        <v>32</v>
      </c>
      <c r="H23" s="95">
        <v>0</v>
      </c>
      <c r="I23" s="419">
        <f t="shared" si="0"/>
        <v>210.42500000000001</v>
      </c>
      <c r="J23" s="420">
        <f t="shared" si="1"/>
        <v>0.98009999999999997</v>
      </c>
      <c r="K23" s="415">
        <f t="shared" si="11"/>
        <v>0.93500000000000005</v>
      </c>
      <c r="L23" s="421">
        <f t="shared" si="2"/>
        <v>206.23754250000002</v>
      </c>
      <c r="M23" s="422">
        <f t="shared" si="3"/>
        <v>192.83199999999999</v>
      </c>
      <c r="N23" s="423">
        <f t="shared" si="4"/>
        <v>192.60524094075004</v>
      </c>
      <c r="O23" s="43">
        <f t="shared" si="10"/>
        <v>27</v>
      </c>
      <c r="P23" s="26">
        <f t="shared" si="5"/>
        <v>935</v>
      </c>
      <c r="Q23" s="26">
        <f t="shared" si="6"/>
        <v>186.96960000000001</v>
      </c>
      <c r="R23" s="26">
        <f t="shared" si="7"/>
        <v>0.48620000000000002</v>
      </c>
      <c r="S23" s="26">
        <f t="shared" si="8"/>
        <v>7.3386896965884079E-4</v>
      </c>
      <c r="T23" s="44">
        <f t="shared" si="9"/>
        <v>0.98009999999999997</v>
      </c>
    </row>
    <row r="24" spans="2:20">
      <c r="B24" s="115" t="s">
        <v>154</v>
      </c>
      <c r="C24" s="215" t="s">
        <v>5</v>
      </c>
      <c r="D24" s="202">
        <v>2.9049999999999998</v>
      </c>
      <c r="E24" s="206">
        <v>41.5</v>
      </c>
      <c r="F24" s="202">
        <v>208.71</v>
      </c>
      <c r="G24" s="72" t="s">
        <v>32</v>
      </c>
      <c r="H24" s="95">
        <v>0</v>
      </c>
      <c r="I24" s="419">
        <f>IF(F24="","",F24-H24)</f>
        <v>208.71</v>
      </c>
      <c r="J24" s="420">
        <f>IF(F24="","",T24)</f>
        <v>0.98040000000000005</v>
      </c>
      <c r="K24" s="415">
        <f t="shared" si="11"/>
        <v>0.93500000000000005</v>
      </c>
      <c r="L24" s="421">
        <f>IF(F24="","",I24*J24)</f>
        <v>204.61928400000002</v>
      </c>
      <c r="M24" s="422">
        <f>IF(B24="","",ROUND(SUM(L24*K24),3))</f>
        <v>191.31899999999999</v>
      </c>
      <c r="N24" s="423">
        <f>(K24-0.0011)*L24</f>
        <v>191.09394932760003</v>
      </c>
      <c r="O24" s="43">
        <f t="shared" si="10"/>
        <v>26.5</v>
      </c>
      <c r="P24" s="26">
        <f>K24*1000</f>
        <v>935</v>
      </c>
      <c r="Q24" s="26">
        <f>IF(K24&gt;0.8385,186.9696,IF(K24&gt;0.7875,594.5418,IF(K24&gt;0.77,2680.3206,346.4228)))</f>
        <v>186.96960000000001</v>
      </c>
      <c r="R24" s="26">
        <f>IF(K24&gt;0.8385,0.4862,IF(K24&gt;0.7875,0,IF(K24&gt;0.77,-0.00336312,0.4388)))</f>
        <v>0.48620000000000002</v>
      </c>
      <c r="S24" s="26">
        <f>IF(OR(K24&gt;0.7876,K24=0.7876),(Q24/P24^2)+(R24/P24),IF(OR(K24&gt;0.7701,K24=0.7701),(Q24/P24^2)+R24,(Q24/P24^2)+(R24/P24)))</f>
        <v>7.3386896965884079E-4</v>
      </c>
      <c r="T24" s="44">
        <f>ROUND(EXP(-S24*O24*(1+0.8*S24*O24)),4)</f>
        <v>0.98040000000000005</v>
      </c>
    </row>
    <row r="25" spans="2:20">
      <c r="B25" s="115" t="s">
        <v>155</v>
      </c>
      <c r="C25" s="215" t="s">
        <v>5</v>
      </c>
      <c r="D25" s="202">
        <v>4.3819999999999997</v>
      </c>
      <c r="E25" s="206">
        <v>43.5</v>
      </c>
      <c r="F25" s="202">
        <v>98.210999999999999</v>
      </c>
      <c r="G25" s="72" t="s">
        <v>32</v>
      </c>
      <c r="H25" s="95">
        <v>0</v>
      </c>
      <c r="I25" s="419">
        <f>IF(F25="","",F25-H25)</f>
        <v>98.210999999999999</v>
      </c>
      <c r="J25" s="420">
        <f>IF(F25="","",T25)</f>
        <v>0.97899999999999998</v>
      </c>
      <c r="K25" s="415">
        <f t="shared" si="11"/>
        <v>0.93500000000000005</v>
      </c>
      <c r="L25" s="421">
        <f>IF(F25="","",I25*J25)</f>
        <v>96.148568999999995</v>
      </c>
      <c r="M25" s="422">
        <f>IF(B25="","",ROUND(SUM(L25*K25),3))</f>
        <v>89.899000000000001</v>
      </c>
      <c r="N25" s="423">
        <f>(K25-0.0011)*L25</f>
        <v>89.793148589099999</v>
      </c>
      <c r="O25" s="43">
        <f t="shared" si="10"/>
        <v>28.5</v>
      </c>
      <c r="P25" s="26">
        <f>K25*1000</f>
        <v>935</v>
      </c>
      <c r="Q25" s="26">
        <f>IF(K25&gt;0.8385,186.9696,IF(K25&gt;0.7875,594.5418,IF(K25&gt;0.77,2680.3206,346.4228)))</f>
        <v>186.96960000000001</v>
      </c>
      <c r="R25" s="26">
        <f>IF(K25&gt;0.8385,0.4862,IF(K25&gt;0.7875,0,IF(K25&gt;0.77,-0.00336312,0.4388)))</f>
        <v>0.48620000000000002</v>
      </c>
      <c r="S25" s="26">
        <f>IF(OR(K25&gt;0.7876,K25=0.7876),(Q25/P25^2)+(R25/P25),IF(OR(K25&gt;0.7701,K25=0.7701),(Q25/P25^2)+R25,(Q25/P25^2)+(R25/P25)))</f>
        <v>7.3386896965884079E-4</v>
      </c>
      <c r="T25" s="44">
        <f>ROUND(EXP(-S25*O25*(1+0.8*S25*O25)),4)</f>
        <v>0.97899999999999998</v>
      </c>
    </row>
    <row r="26" spans="2:20">
      <c r="B26" s="115" t="s">
        <v>156</v>
      </c>
      <c r="C26" s="215" t="s">
        <v>5</v>
      </c>
      <c r="D26" s="202">
        <v>4.3230000000000004</v>
      </c>
      <c r="E26" s="206">
        <v>42.5</v>
      </c>
      <c r="F26" s="202">
        <v>50.738999999999997</v>
      </c>
      <c r="G26" s="72" t="s">
        <v>32</v>
      </c>
      <c r="H26" s="95">
        <v>0</v>
      </c>
      <c r="I26" s="419">
        <f t="shared" si="0"/>
        <v>50.738999999999997</v>
      </c>
      <c r="J26" s="420">
        <f t="shared" si="1"/>
        <v>0.97970000000000002</v>
      </c>
      <c r="K26" s="415">
        <f t="shared" si="11"/>
        <v>0.93500000000000005</v>
      </c>
      <c r="L26" s="421">
        <f t="shared" si="2"/>
        <v>49.708998299999998</v>
      </c>
      <c r="M26" s="422">
        <f t="shared" si="3"/>
        <v>46.478000000000002</v>
      </c>
      <c r="N26" s="423">
        <f t="shared" si="4"/>
        <v>46.423233512370004</v>
      </c>
      <c r="O26" s="43">
        <f t="shared" si="10"/>
        <v>27.5</v>
      </c>
      <c r="P26" s="26">
        <f t="shared" si="5"/>
        <v>935</v>
      </c>
      <c r="Q26" s="26">
        <f t="shared" si="6"/>
        <v>186.96960000000001</v>
      </c>
      <c r="R26" s="26">
        <f t="shared" si="7"/>
        <v>0.48620000000000002</v>
      </c>
      <c r="S26" s="26">
        <f t="shared" si="8"/>
        <v>7.3386896965884079E-4</v>
      </c>
      <c r="T26" s="44">
        <f t="shared" si="9"/>
        <v>0.97970000000000002</v>
      </c>
    </row>
    <row r="27" spans="2:20" ht="13.5" thickBot="1">
      <c r="B27" s="116" t="s">
        <v>68</v>
      </c>
      <c r="C27" s="216" t="s">
        <v>5</v>
      </c>
      <c r="D27" s="217">
        <v>2.9359999999999999</v>
      </c>
      <c r="E27" s="206">
        <v>41.5</v>
      </c>
      <c r="F27" s="217">
        <v>212.02799999999999</v>
      </c>
      <c r="G27" s="137" t="s">
        <v>32</v>
      </c>
      <c r="H27" s="96">
        <v>0</v>
      </c>
      <c r="I27" s="424">
        <f t="shared" si="0"/>
        <v>212.02799999999999</v>
      </c>
      <c r="J27" s="425">
        <f t="shared" si="1"/>
        <v>0.98040000000000005</v>
      </c>
      <c r="K27" s="415">
        <f t="shared" si="11"/>
        <v>0.93500000000000005</v>
      </c>
      <c r="L27" s="426">
        <f t="shared" si="2"/>
        <v>207.87225119999999</v>
      </c>
      <c r="M27" s="427">
        <f t="shared" si="3"/>
        <v>194.36099999999999</v>
      </c>
      <c r="N27" s="428">
        <f t="shared" si="4"/>
        <v>194.13189539568</v>
      </c>
      <c r="O27" s="43">
        <f t="shared" si="10"/>
        <v>26.5</v>
      </c>
      <c r="P27" s="26">
        <f t="shared" si="5"/>
        <v>935</v>
      </c>
      <c r="Q27" s="26">
        <f t="shared" si="6"/>
        <v>186.96960000000001</v>
      </c>
      <c r="R27" s="26">
        <f t="shared" si="7"/>
        <v>0.48620000000000002</v>
      </c>
      <c r="S27" s="26">
        <f t="shared" si="8"/>
        <v>7.3386896965884079E-4</v>
      </c>
      <c r="T27" s="44">
        <f t="shared" si="9"/>
        <v>0.98040000000000005</v>
      </c>
    </row>
    <row r="28" spans="2:20" ht="13.5" thickBot="1">
      <c r="B28" s="446"/>
      <c r="C28" s="447"/>
      <c r="D28" s="447"/>
      <c r="E28" s="447"/>
      <c r="F28" s="447" t="s">
        <v>43</v>
      </c>
      <c r="G28" s="226"/>
      <c r="H28" s="226"/>
      <c r="I28" s="448">
        <f>SUM(I20:I27)</f>
        <v>1132.5410000000002</v>
      </c>
      <c r="J28" s="140">
        <f>MEDIAN(J20:J27)</f>
        <v>0.97989999999999999</v>
      </c>
      <c r="K28" s="170">
        <f>MEDIAN(K20:K27)</f>
        <v>0.93500000000000005</v>
      </c>
      <c r="L28" s="146">
        <f>SUM(L20:L27)</f>
        <v>1109.7803133</v>
      </c>
      <c r="M28" s="113">
        <f>ROUND(SUM(M20:M27),3)</f>
        <v>1037.646</v>
      </c>
      <c r="N28" s="449">
        <f>SUM(N20:N27)</f>
        <v>1036.4238345908702</v>
      </c>
      <c r="O28" s="45"/>
    </row>
    <row r="29" spans="2:20">
      <c r="O29" s="42"/>
    </row>
    <row r="30" spans="2:20" ht="13.5" thickBot="1">
      <c r="B30" s="25"/>
      <c r="O30" s="42"/>
    </row>
    <row r="31" spans="2:20" ht="15" thickBot="1">
      <c r="B31" s="237" t="s">
        <v>69</v>
      </c>
      <c r="C31" s="232"/>
      <c r="D31" s="232"/>
      <c r="E31" s="232"/>
      <c r="F31" s="232"/>
      <c r="G31" s="232"/>
      <c r="H31" s="232"/>
      <c r="I31" s="232"/>
      <c r="J31" s="131" t="s">
        <v>61</v>
      </c>
      <c r="K31" s="249" t="s">
        <v>54</v>
      </c>
      <c r="L31" s="250"/>
      <c r="M31" s="250"/>
      <c r="N31" s="114" t="s">
        <v>62</v>
      </c>
      <c r="O31" s="42"/>
    </row>
    <row r="32" spans="2:20" ht="13.5" thickBot="1">
      <c r="B32" s="27" t="s">
        <v>11</v>
      </c>
      <c r="C32" s="212">
        <v>2.5</v>
      </c>
      <c r="D32" s="28" t="s">
        <v>12</v>
      </c>
      <c r="E32" s="28" t="s">
        <v>13</v>
      </c>
      <c r="F32" s="213">
        <v>2.6</v>
      </c>
      <c r="G32" s="28" t="s">
        <v>12</v>
      </c>
      <c r="H32" s="28" t="s">
        <v>14</v>
      </c>
      <c r="I32" s="132">
        <v>0</v>
      </c>
      <c r="J32" s="231" t="s">
        <v>15</v>
      </c>
      <c r="K32" s="232"/>
      <c r="L32" s="134" t="s">
        <v>63</v>
      </c>
      <c r="M32" s="228" t="s">
        <v>17</v>
      </c>
      <c r="N32" s="229"/>
      <c r="O32" s="42"/>
    </row>
    <row r="33" spans="2:25">
      <c r="B33" s="429" t="s">
        <v>18</v>
      </c>
      <c r="C33" s="430" t="s">
        <v>19</v>
      </c>
      <c r="D33" s="431" t="s">
        <v>64</v>
      </c>
      <c r="E33" s="431" t="s">
        <v>40</v>
      </c>
      <c r="F33" s="432" t="s">
        <v>65</v>
      </c>
      <c r="G33" s="459" t="s">
        <v>23</v>
      </c>
      <c r="H33" s="460"/>
      <c r="I33" s="431" t="s">
        <v>24</v>
      </c>
      <c r="J33" s="431" t="s">
        <v>25</v>
      </c>
      <c r="K33" s="431" t="s">
        <v>66</v>
      </c>
      <c r="L33" s="435" t="s">
        <v>67</v>
      </c>
      <c r="M33" s="436" t="s">
        <v>28</v>
      </c>
      <c r="N33" s="437" t="s">
        <v>29</v>
      </c>
      <c r="O33" s="42"/>
    </row>
    <row r="34" spans="2:25" ht="13.5" thickBot="1">
      <c r="B34" s="438"/>
      <c r="C34" s="439"/>
      <c r="D34" s="440"/>
      <c r="E34" s="440"/>
      <c r="F34" s="441"/>
      <c r="G34" s="461" t="s">
        <v>30</v>
      </c>
      <c r="H34" s="461" t="s">
        <v>31</v>
      </c>
      <c r="I34" s="440"/>
      <c r="J34" s="440"/>
      <c r="K34" s="440"/>
      <c r="L34" s="443"/>
      <c r="M34" s="444"/>
      <c r="N34" s="445"/>
      <c r="O34" s="42"/>
      <c r="W34" s="138"/>
      <c r="X34" s="139">
        <f>SUM(L20:L27)</f>
        <v>1109.7803133</v>
      </c>
      <c r="Y34" s="138"/>
    </row>
    <row r="35" spans="2:25">
      <c r="B35" s="118" t="str">
        <f>B20</f>
        <v>1BB</v>
      </c>
      <c r="C35" s="191" t="str">
        <f>C20</f>
        <v>VLSFO</v>
      </c>
      <c r="D35" s="201">
        <v>2.9510000000000001</v>
      </c>
      <c r="E35" s="206">
        <f>E20</f>
        <v>42</v>
      </c>
      <c r="F35" s="201">
        <v>204.691</v>
      </c>
      <c r="G35" s="111" t="s">
        <v>32</v>
      </c>
      <c r="H35" s="112">
        <v>0</v>
      </c>
      <c r="I35" s="450">
        <f t="shared" ref="I35:I42" si="12">IF(F35="","",F35-H35)</f>
        <v>204.691</v>
      </c>
      <c r="J35" s="451">
        <f t="shared" ref="J35:J42" si="13">IF(F35="","",T35)</f>
        <v>0.98009999999999997</v>
      </c>
      <c r="K35" s="452">
        <f t="shared" ref="K35:K42" si="14">K20</f>
        <v>0.93500000000000005</v>
      </c>
      <c r="L35" s="453">
        <f t="shared" ref="L35:L42" si="15">IF(F35="","",I35*J35)</f>
        <v>200.61764909999999</v>
      </c>
      <c r="M35" s="454">
        <f t="shared" ref="M35:M42" si="16">IF(B35="","",ROUND(SUM(L35*K35),3))</f>
        <v>187.578</v>
      </c>
      <c r="N35" s="455">
        <f t="shared" ref="N35:N42" si="17">(K35-0.0011)*L35</f>
        <v>187.35682249449002</v>
      </c>
      <c r="O35" s="43">
        <f>IF(E35="","",E35-15)</f>
        <v>27</v>
      </c>
      <c r="P35" s="26">
        <f t="shared" ref="P35:P42" si="18">K35*1000</f>
        <v>935</v>
      </c>
      <c r="Q35" s="26">
        <f t="shared" ref="Q35:Q42" si="19">IF(K35&gt;0.8385,186.9696,IF(K35&gt;0.7875,594.5418,IF(K35&gt;0.77,2680.3206,346.4228)))</f>
        <v>186.96960000000001</v>
      </c>
      <c r="R35" s="26">
        <f t="shared" ref="R35:R42" si="20">IF(K35&gt;0.8385,0.4862,IF(K35&gt;0.7875,0,IF(K35&gt;0.77,-0.00336312,0.4388)))</f>
        <v>0.48620000000000002</v>
      </c>
      <c r="S35" s="26">
        <f t="shared" ref="S35:S42" si="21">IF(OR(K35&gt;0.7876,K35=0.7876),(Q35/P35^2)+(R35/P35),IF(OR(K35&gt;0.7701,K35=0.7701),(Q35/P35^2)+R35,(Q35/P35^2)+(R35/P35)))</f>
        <v>7.3386896965884079E-4</v>
      </c>
      <c r="T35" s="44">
        <f t="shared" ref="T35:T42" si="22">ROUND(EXP(-S35*O35*(1+0.8*S35*O35)),4)</f>
        <v>0.98009999999999997</v>
      </c>
      <c r="W35" s="139">
        <f>I28-I43</f>
        <v>109.58200000000033</v>
      </c>
      <c r="X35" s="139">
        <f>SUM(L35:L42)</f>
        <v>1002.362194</v>
      </c>
      <c r="Y35" s="138">
        <f>624.8*0.9799</f>
        <v>612.24151999999992</v>
      </c>
    </row>
    <row r="36" spans="2:25">
      <c r="B36" s="118" t="str">
        <f t="shared" ref="B36:C42" si="23">B21</f>
        <v>2BB</v>
      </c>
      <c r="C36" s="191" t="str">
        <f t="shared" si="23"/>
        <v>VLSFO</v>
      </c>
      <c r="D36" s="202">
        <v>4.3840000000000003</v>
      </c>
      <c r="E36" s="206">
        <f t="shared" ref="E36:E42" si="24">E21</f>
        <v>44</v>
      </c>
      <c r="F36" s="202">
        <v>97.685000000000002</v>
      </c>
      <c r="G36" s="72" t="s">
        <v>32</v>
      </c>
      <c r="H36" s="95">
        <v>0</v>
      </c>
      <c r="I36" s="419">
        <f t="shared" si="12"/>
        <v>97.685000000000002</v>
      </c>
      <c r="J36" s="420">
        <f t="shared" si="13"/>
        <v>0.97860000000000003</v>
      </c>
      <c r="K36" s="456">
        <f t="shared" si="14"/>
        <v>0.93500000000000005</v>
      </c>
      <c r="L36" s="421">
        <f t="shared" si="15"/>
        <v>95.594541000000007</v>
      </c>
      <c r="M36" s="457">
        <f t="shared" si="16"/>
        <v>89.381</v>
      </c>
      <c r="N36" s="458">
        <f t="shared" si="17"/>
        <v>89.275741839900007</v>
      </c>
      <c r="O36" s="43">
        <f t="shared" ref="O36:O42" si="25">E36-15</f>
        <v>29</v>
      </c>
      <c r="P36" s="26">
        <f t="shared" si="18"/>
        <v>935</v>
      </c>
      <c r="Q36" s="26">
        <f t="shared" si="19"/>
        <v>186.96960000000001</v>
      </c>
      <c r="R36" s="26">
        <f t="shared" si="20"/>
        <v>0.48620000000000002</v>
      </c>
      <c r="S36" s="26">
        <f t="shared" si="21"/>
        <v>7.3386896965884079E-4</v>
      </c>
      <c r="T36" s="44">
        <f t="shared" si="22"/>
        <v>0.97860000000000003</v>
      </c>
      <c r="W36" s="138">
        <f>W35*0.9799</f>
        <v>107.37940180000032</v>
      </c>
      <c r="X36" s="139">
        <f>X34-X35</f>
        <v>107.41811929999994</v>
      </c>
      <c r="Y36" s="138">
        <f>Y35*0.9475</f>
        <v>580.09884019999993</v>
      </c>
    </row>
    <row r="37" spans="2:25">
      <c r="B37" s="118" t="str">
        <f t="shared" si="23"/>
        <v>3BB</v>
      </c>
      <c r="C37" s="191" t="str">
        <f t="shared" si="23"/>
        <v>VLSFO</v>
      </c>
      <c r="D37" s="202">
        <v>4.3390000000000004</v>
      </c>
      <c r="E37" s="206">
        <f t="shared" si="24"/>
        <v>44</v>
      </c>
      <c r="F37" s="202">
        <v>50.341000000000001</v>
      </c>
      <c r="G37" s="72" t="s">
        <v>32</v>
      </c>
      <c r="H37" s="95">
        <v>0</v>
      </c>
      <c r="I37" s="419">
        <f t="shared" si="12"/>
        <v>50.341000000000001</v>
      </c>
      <c r="J37" s="420">
        <f t="shared" si="13"/>
        <v>0.97860000000000003</v>
      </c>
      <c r="K37" s="456">
        <f t="shared" si="14"/>
        <v>0.93500000000000005</v>
      </c>
      <c r="L37" s="421">
        <f t="shared" si="15"/>
        <v>49.263702600000002</v>
      </c>
      <c r="M37" s="457">
        <f t="shared" si="16"/>
        <v>46.061999999999998</v>
      </c>
      <c r="N37" s="458">
        <f t="shared" si="17"/>
        <v>46.007371858140004</v>
      </c>
      <c r="O37" s="43">
        <f t="shared" si="25"/>
        <v>29</v>
      </c>
      <c r="P37" s="26">
        <f t="shared" si="18"/>
        <v>935</v>
      </c>
      <c r="Q37" s="26">
        <f t="shared" si="19"/>
        <v>186.96960000000001</v>
      </c>
      <c r="R37" s="26">
        <f t="shared" si="20"/>
        <v>0.48620000000000002</v>
      </c>
      <c r="S37" s="26">
        <f t="shared" si="21"/>
        <v>7.3386896965884079E-4</v>
      </c>
      <c r="T37" s="44">
        <f t="shared" si="22"/>
        <v>0.97860000000000003</v>
      </c>
      <c r="W37" s="138">
        <f>W36*0.9475</f>
        <v>101.7419832055003</v>
      </c>
      <c r="X37" s="138"/>
      <c r="Y37" s="138"/>
    </row>
    <row r="38" spans="2:25">
      <c r="B38" s="118" t="str">
        <f t="shared" si="23"/>
        <v>4BB</v>
      </c>
      <c r="C38" s="191" t="str">
        <f t="shared" si="23"/>
        <v>VLSFO</v>
      </c>
      <c r="D38" s="202">
        <v>3.5489999999999999</v>
      </c>
      <c r="E38" s="206">
        <f t="shared" si="24"/>
        <v>42</v>
      </c>
      <c r="F38" s="202">
        <v>156.88999999999999</v>
      </c>
      <c r="G38" s="72" t="s">
        <v>32</v>
      </c>
      <c r="H38" s="95">
        <v>0</v>
      </c>
      <c r="I38" s="419">
        <f t="shared" si="12"/>
        <v>156.88999999999999</v>
      </c>
      <c r="J38" s="420">
        <f t="shared" si="13"/>
        <v>0.98009999999999997</v>
      </c>
      <c r="K38" s="456">
        <f t="shared" si="14"/>
        <v>0.93500000000000005</v>
      </c>
      <c r="L38" s="421">
        <f t="shared" si="15"/>
        <v>153.76788899999997</v>
      </c>
      <c r="M38" s="457">
        <f t="shared" si="16"/>
        <v>143.773</v>
      </c>
      <c r="N38" s="458">
        <f t="shared" si="17"/>
        <v>143.60383153709998</v>
      </c>
      <c r="O38" s="43">
        <f t="shared" si="25"/>
        <v>27</v>
      </c>
      <c r="P38" s="26">
        <f t="shared" si="18"/>
        <v>935</v>
      </c>
      <c r="Q38" s="26">
        <f t="shared" si="19"/>
        <v>186.96960000000001</v>
      </c>
      <c r="R38" s="26">
        <f t="shared" si="20"/>
        <v>0.48620000000000002</v>
      </c>
      <c r="S38" s="26">
        <f t="shared" si="21"/>
        <v>7.3386896965884079E-4</v>
      </c>
      <c r="T38" s="44">
        <f t="shared" si="22"/>
        <v>0.98009999999999997</v>
      </c>
    </row>
    <row r="39" spans="2:25">
      <c r="B39" s="118" t="str">
        <f t="shared" si="23"/>
        <v>1BE</v>
      </c>
      <c r="C39" s="191" t="str">
        <f t="shared" si="23"/>
        <v>VLSFO</v>
      </c>
      <c r="D39" s="202">
        <v>2.919</v>
      </c>
      <c r="E39" s="206">
        <f t="shared" si="24"/>
        <v>41.5</v>
      </c>
      <c r="F39" s="202">
        <v>207.53</v>
      </c>
      <c r="G39" s="72" t="s">
        <v>32</v>
      </c>
      <c r="H39" s="95">
        <v>0</v>
      </c>
      <c r="I39" s="419">
        <f t="shared" si="12"/>
        <v>207.53</v>
      </c>
      <c r="J39" s="420">
        <f>IF(F39="","",T39)</f>
        <v>0.98040000000000005</v>
      </c>
      <c r="K39" s="456">
        <f t="shared" si="14"/>
        <v>0.93500000000000005</v>
      </c>
      <c r="L39" s="421">
        <f>IF(F39="","",I39*J39)</f>
        <v>203.462412</v>
      </c>
      <c r="M39" s="457">
        <f>IF(B39="","",ROUND(SUM(L39*K39),3))</f>
        <v>190.23699999999999</v>
      </c>
      <c r="N39" s="458">
        <f>(K39-0.0011)*L39</f>
        <v>190.01354656680002</v>
      </c>
      <c r="O39" s="43">
        <f t="shared" si="25"/>
        <v>26.5</v>
      </c>
      <c r="P39" s="26">
        <f>K39*1000</f>
        <v>935</v>
      </c>
      <c r="Q39" s="26">
        <f>IF(K39&gt;0.8385,186.9696,IF(K39&gt;0.7875,594.5418,IF(K39&gt;0.77,2680.3206,346.4228)))</f>
        <v>186.96960000000001</v>
      </c>
      <c r="R39" s="26">
        <f>IF(K39&gt;0.8385,0.4862,IF(K39&gt;0.7875,0,IF(K39&gt;0.77,-0.00336312,0.4388)))</f>
        <v>0.48620000000000002</v>
      </c>
      <c r="S39" s="26">
        <f>IF(OR(K39&gt;0.7876,K39=0.7876),(Q39/P39^2)+(R39/P39),IF(OR(K39&gt;0.7701,K39=0.7701),(Q39/P39^2)+R39,(Q39/P39^2)+(R39/P39)))</f>
        <v>7.3386896965884079E-4</v>
      </c>
      <c r="T39" s="44">
        <f>ROUND(EXP(-S39*O39*(1+0.8*S39*O39)),4)</f>
        <v>0.98040000000000005</v>
      </c>
    </row>
    <row r="40" spans="2:25">
      <c r="B40" s="118" t="str">
        <f t="shared" si="23"/>
        <v>2BE</v>
      </c>
      <c r="C40" s="191" t="str">
        <f t="shared" si="23"/>
        <v>VLSFO</v>
      </c>
      <c r="D40" s="202">
        <v>4.3890000000000002</v>
      </c>
      <c r="E40" s="206">
        <f t="shared" si="24"/>
        <v>43.5</v>
      </c>
      <c r="F40" s="202">
        <v>97.572000000000003</v>
      </c>
      <c r="G40" s="72" t="s">
        <v>32</v>
      </c>
      <c r="H40" s="95">
        <v>0</v>
      </c>
      <c r="I40" s="419">
        <f t="shared" si="12"/>
        <v>97.572000000000003</v>
      </c>
      <c r="J40" s="420">
        <f>IF(F40="","",T40)</f>
        <v>0.97899999999999998</v>
      </c>
      <c r="K40" s="456">
        <f t="shared" si="14"/>
        <v>0.93500000000000005</v>
      </c>
      <c r="L40" s="421">
        <f>IF(F40="","",I40*J40)</f>
        <v>95.522987999999998</v>
      </c>
      <c r="M40" s="457">
        <f>IF(B40="","",ROUND(SUM(L40*K40),3))</f>
        <v>89.313999999999993</v>
      </c>
      <c r="N40" s="458">
        <f>(K40-0.0011)*L40</f>
        <v>89.208918493200002</v>
      </c>
      <c r="O40" s="43">
        <f t="shared" si="25"/>
        <v>28.5</v>
      </c>
      <c r="P40" s="26">
        <f>K40*1000</f>
        <v>935</v>
      </c>
      <c r="Q40" s="26">
        <f>IF(K40&gt;0.8385,186.9696,IF(K40&gt;0.7875,594.5418,IF(K40&gt;0.77,2680.3206,346.4228)))</f>
        <v>186.96960000000001</v>
      </c>
      <c r="R40" s="26">
        <f>IF(K40&gt;0.8385,0.4862,IF(K40&gt;0.7875,0,IF(K40&gt;0.77,-0.00336312,0.4388)))</f>
        <v>0.48620000000000002</v>
      </c>
      <c r="S40" s="26">
        <f>IF(OR(K40&gt;0.7876,K40=0.7876),(Q40/P40^2)+(R40/P40),IF(OR(K40&gt;0.7701,K40=0.7701),(Q40/P40^2)+R40,(Q40/P40^2)+(R40/P40)))</f>
        <v>7.3386896965884079E-4</v>
      </c>
      <c r="T40" s="44">
        <f>ROUND(EXP(-S40*O40*(1+0.8*S40*O40)),4)</f>
        <v>0.97899999999999998</v>
      </c>
    </row>
    <row r="41" spans="2:25">
      <c r="B41" s="118" t="str">
        <f t="shared" si="23"/>
        <v>3BE</v>
      </c>
      <c r="C41" s="191" t="str">
        <f t="shared" si="23"/>
        <v>VLSFO</v>
      </c>
      <c r="D41" s="202">
        <v>4.3310000000000004</v>
      </c>
      <c r="E41" s="206">
        <f t="shared" si="24"/>
        <v>42.5</v>
      </c>
      <c r="F41" s="202">
        <v>50.411000000000001</v>
      </c>
      <c r="G41" s="72" t="s">
        <v>32</v>
      </c>
      <c r="H41" s="95">
        <v>0</v>
      </c>
      <c r="I41" s="419">
        <f t="shared" si="12"/>
        <v>50.411000000000001</v>
      </c>
      <c r="J41" s="420">
        <f t="shared" si="13"/>
        <v>0.97970000000000002</v>
      </c>
      <c r="K41" s="456">
        <f t="shared" si="14"/>
        <v>0.93500000000000005</v>
      </c>
      <c r="L41" s="421">
        <f t="shared" si="15"/>
        <v>49.387656700000001</v>
      </c>
      <c r="M41" s="457">
        <f t="shared" si="16"/>
        <v>46.177</v>
      </c>
      <c r="N41" s="458">
        <f t="shared" si="17"/>
        <v>46.123132592130005</v>
      </c>
      <c r="O41" s="43">
        <f t="shared" si="25"/>
        <v>27.5</v>
      </c>
      <c r="P41" s="26">
        <f t="shared" si="18"/>
        <v>935</v>
      </c>
      <c r="Q41" s="26">
        <f t="shared" si="19"/>
        <v>186.96960000000001</v>
      </c>
      <c r="R41" s="26">
        <f t="shared" si="20"/>
        <v>0.48620000000000002</v>
      </c>
      <c r="S41" s="26">
        <f t="shared" si="21"/>
        <v>7.3386896965884079E-4</v>
      </c>
      <c r="T41" s="44">
        <f t="shared" si="22"/>
        <v>0.97970000000000002</v>
      </c>
    </row>
    <row r="42" spans="2:25" ht="13.5" thickBot="1">
      <c r="B42" s="118" t="str">
        <f t="shared" si="23"/>
        <v>4 BE</v>
      </c>
      <c r="C42" s="191" t="str">
        <f t="shared" si="23"/>
        <v>VLSFO</v>
      </c>
      <c r="D42" s="217">
        <v>3.5550000000000002</v>
      </c>
      <c r="E42" s="206">
        <f t="shared" si="24"/>
        <v>41.5</v>
      </c>
      <c r="F42" s="217">
        <v>157.839</v>
      </c>
      <c r="G42" s="72" t="s">
        <v>32</v>
      </c>
      <c r="H42" s="95">
        <v>0</v>
      </c>
      <c r="I42" s="419">
        <f t="shared" si="12"/>
        <v>157.839</v>
      </c>
      <c r="J42" s="420">
        <f t="shared" si="13"/>
        <v>0.98040000000000005</v>
      </c>
      <c r="K42" s="456">
        <f t="shared" si="14"/>
        <v>0.93500000000000005</v>
      </c>
      <c r="L42" s="421">
        <f t="shared" si="15"/>
        <v>154.74535560000001</v>
      </c>
      <c r="M42" s="457">
        <f t="shared" si="16"/>
        <v>144.68700000000001</v>
      </c>
      <c r="N42" s="458">
        <f t="shared" si="17"/>
        <v>144.51668759484002</v>
      </c>
      <c r="O42" s="43">
        <f t="shared" si="25"/>
        <v>26.5</v>
      </c>
      <c r="P42" s="26">
        <f t="shared" si="18"/>
        <v>935</v>
      </c>
      <c r="Q42" s="26">
        <f t="shared" si="19"/>
        <v>186.96960000000001</v>
      </c>
      <c r="R42" s="26">
        <f t="shared" si="20"/>
        <v>0.48620000000000002</v>
      </c>
      <c r="S42" s="26">
        <f t="shared" si="21"/>
        <v>7.3386896965884079E-4</v>
      </c>
      <c r="T42" s="44">
        <f t="shared" si="22"/>
        <v>0.98040000000000005</v>
      </c>
    </row>
    <row r="43" spans="2:25" ht="13.5" thickBot="1">
      <c r="B43" s="446"/>
      <c r="C43" s="447"/>
      <c r="D43" s="226"/>
      <c r="E43" s="226"/>
      <c r="F43" s="226" t="s">
        <v>43</v>
      </c>
      <c r="G43" s="226"/>
      <c r="H43" s="226"/>
      <c r="I43" s="448">
        <f>SUM(I35:I42)</f>
        <v>1022.9589999999998</v>
      </c>
      <c r="J43" s="140">
        <f>MEDIAN(J35:J42)</f>
        <v>0.97989999999999999</v>
      </c>
      <c r="K43" s="169">
        <f>MEDIAN(K35:K42)</f>
        <v>0.93500000000000005</v>
      </c>
      <c r="L43" s="146">
        <f>SUM(L35:L42)</f>
        <v>1002.362194</v>
      </c>
      <c r="M43" s="99">
        <f>ROUND(SUM(M35:M42),3)</f>
        <v>937.20899999999995</v>
      </c>
      <c r="N43" s="156">
        <f>SUM(N35:N42)</f>
        <v>936.10605297660004</v>
      </c>
      <c r="O43" s="42"/>
    </row>
    <row r="44" spans="2:25">
      <c r="D44" s="47"/>
      <c r="E44" s="47"/>
      <c r="F44" s="47"/>
      <c r="G44" s="47"/>
      <c r="H44" s="47"/>
      <c r="I44" s="76"/>
      <c r="J44" s="147"/>
      <c r="K44" s="76"/>
      <c r="L44" s="76"/>
      <c r="M44" s="76"/>
      <c r="N44" s="76"/>
      <c r="O44" s="42"/>
    </row>
    <row r="45" spans="2:25" ht="13.5" customHeight="1">
      <c r="B45" s="241" t="s">
        <v>70</v>
      </c>
      <c r="C45" s="241"/>
      <c r="D45" s="241"/>
      <c r="E45" s="241" t="s">
        <v>71</v>
      </c>
      <c r="F45" s="241"/>
      <c r="G45" s="241"/>
      <c r="I45" s="181" t="s">
        <v>72</v>
      </c>
      <c r="J45" s="182"/>
      <c r="K45" s="182"/>
      <c r="L45" s="183"/>
      <c r="M45" s="183">
        <f>N28-N43</f>
        <v>100.31778161427019</v>
      </c>
      <c r="N45" s="184" t="s">
        <v>50</v>
      </c>
      <c r="O45" s="46"/>
    </row>
    <row r="46" spans="2:25">
      <c r="B46" s="242"/>
      <c r="C46" s="242"/>
      <c r="D46" s="242"/>
      <c r="E46" s="242"/>
      <c r="F46" s="242"/>
      <c r="G46" s="242"/>
      <c r="N46" s="47"/>
      <c r="O46" s="44"/>
    </row>
    <row r="47" spans="2:25" s="35" customFormat="1">
      <c r="B47" s="238">
        <v>0.93500000000000005</v>
      </c>
      <c r="C47" s="239"/>
      <c r="D47" s="240"/>
      <c r="E47" s="243">
        <v>0.93169999999999997</v>
      </c>
      <c r="F47" s="244"/>
      <c r="G47" s="245"/>
      <c r="I47" s="185" t="s">
        <v>73</v>
      </c>
      <c r="J47" s="182"/>
      <c r="K47" s="182"/>
      <c r="L47" s="183"/>
      <c r="M47" s="183" t="s">
        <v>54</v>
      </c>
      <c r="N47" s="184" t="s">
        <v>74</v>
      </c>
    </row>
    <row r="48" spans="2:25">
      <c r="B48" s="171"/>
      <c r="C48" s="171"/>
      <c r="D48" s="171"/>
    </row>
    <row r="50" spans="2:14">
      <c r="B50" s="26" t="s">
        <v>75</v>
      </c>
      <c r="D50" s="208" t="s">
        <v>54</v>
      </c>
      <c r="E50" s="208"/>
      <c r="F50" s="119"/>
      <c r="M50" s="119"/>
      <c r="N50" s="119"/>
    </row>
    <row r="51" spans="2:14">
      <c r="B51" s="26" t="s">
        <v>76</v>
      </c>
      <c r="D51" s="233" t="s">
        <v>54</v>
      </c>
      <c r="E51" s="233"/>
      <c r="F51" s="119"/>
      <c r="L51" s="126"/>
      <c r="M51" s="119"/>
      <c r="N51" s="119"/>
    </row>
    <row r="52" spans="2:14" ht="15.75" customHeight="1">
      <c r="B52" s="26" t="s">
        <v>77</v>
      </c>
      <c r="D52" s="209" t="s">
        <v>54</v>
      </c>
      <c r="E52" s="210"/>
      <c r="L52" s="127"/>
      <c r="M52" s="119"/>
      <c r="N52" s="119"/>
    </row>
    <row r="54" spans="2:14">
      <c r="B54" s="26" t="s">
        <v>78</v>
      </c>
      <c r="D54" s="119" t="s">
        <v>79</v>
      </c>
    </row>
    <row r="55" spans="2:14">
      <c r="K55" s="51"/>
    </row>
    <row r="59" spans="2:14">
      <c r="C59" s="52"/>
      <c r="D59" s="247"/>
      <c r="E59" s="247"/>
      <c r="H59" s="53"/>
      <c r="J59" s="54"/>
    </row>
    <row r="60" spans="2:14">
      <c r="D60" s="246"/>
      <c r="E60" s="246"/>
    </row>
    <row r="61" spans="2:14" ht="14.25">
      <c r="C61" s="39" t="s">
        <v>57</v>
      </c>
      <c r="D61" s="39"/>
      <c r="E61" s="230" t="str">
        <f>'Vessel Ullage'!E74</f>
        <v>Geraimovych, Volodymyr</v>
      </c>
      <c r="F61" s="230"/>
      <c r="G61" s="230"/>
      <c r="I61" s="39" t="s">
        <v>58</v>
      </c>
      <c r="J61" s="248" t="str">
        <f>'Vessel Ullage'!L74</f>
        <v>Lara, Ernesto</v>
      </c>
      <c r="K61" s="248"/>
      <c r="L61" s="248"/>
    </row>
    <row r="62" spans="2:14">
      <c r="D62" s="246"/>
      <c r="E62" s="246"/>
    </row>
    <row r="65" spans="8:8">
      <c r="H65" s="53"/>
    </row>
  </sheetData>
  <sheetProtection selectLockedCells="1"/>
  <mergeCells count="49">
    <mergeCell ref="H1:M1"/>
    <mergeCell ref="J13:L13"/>
    <mergeCell ref="B7:L7"/>
    <mergeCell ref="B18:B19"/>
    <mergeCell ref="D18:D19"/>
    <mergeCell ref="E18:E19"/>
    <mergeCell ref="F18:F19"/>
    <mergeCell ref="D12:E12"/>
    <mergeCell ref="H2:N2"/>
    <mergeCell ref="I3:N3"/>
    <mergeCell ref="H4:N4"/>
    <mergeCell ref="H5:M5"/>
    <mergeCell ref="L18:L19"/>
    <mergeCell ref="G18:H18"/>
    <mergeCell ref="I18:I19"/>
    <mergeCell ref="K16:M16"/>
    <mergeCell ref="D62:E62"/>
    <mergeCell ref="D59:E59"/>
    <mergeCell ref="J61:L61"/>
    <mergeCell ref="D60:E60"/>
    <mergeCell ref="K31:M31"/>
    <mergeCell ref="G33:H33"/>
    <mergeCell ref="B16:I16"/>
    <mergeCell ref="B31:I31"/>
    <mergeCell ref="B47:D47"/>
    <mergeCell ref="E45:G46"/>
    <mergeCell ref="E47:G47"/>
    <mergeCell ref="B33:B34"/>
    <mergeCell ref="B45:D46"/>
    <mergeCell ref="C18:C19"/>
    <mergeCell ref="C33:C34"/>
    <mergeCell ref="F33:F34"/>
    <mergeCell ref="I33:I34"/>
    <mergeCell ref="M17:N17"/>
    <mergeCell ref="E61:G61"/>
    <mergeCell ref="K18:K19"/>
    <mergeCell ref="J33:J34"/>
    <mergeCell ref="M32:N32"/>
    <mergeCell ref="M33:M34"/>
    <mergeCell ref="N33:N34"/>
    <mergeCell ref="K33:K34"/>
    <mergeCell ref="L33:L34"/>
    <mergeCell ref="J32:K32"/>
    <mergeCell ref="N18:N19"/>
    <mergeCell ref="M18:M19"/>
    <mergeCell ref="D51:E51"/>
    <mergeCell ref="D33:D34"/>
    <mergeCell ref="E33:E34"/>
    <mergeCell ref="J18:J19"/>
  </mergeCells>
  <phoneticPr fontId="0" type="noConversion"/>
  <hyperlinks>
    <hyperlink ref="H4" r:id="rId1" xr:uid="{00000000-0004-0000-0100-000000000000}"/>
  </hyperlinks>
  <pageMargins left="0.31496062992125984" right="0.23622047244094491" top="0.98425196850393704" bottom="0.98425196850393704" header="0.51181102362204722" footer="0.51181102362204722"/>
  <pageSetup paperSize="9" scale="81" orientation="portrait" blackAndWhite="1" horizontalDpi="300" verticalDpi="300" r:id="rId2"/>
  <headerFooter alignWithMargins="0"/>
  <ignoredErrors>
    <ignoredError sqref="J61 E35:E42" unlockedFormula="1"/>
    <ignoredError sqref="M28 M43" formula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58"/>
  <sheetViews>
    <sheetView showGridLines="0" topLeftCell="A4" zoomScaleNormal="100" zoomScaleSheetLayoutView="100" workbookViewId="0">
      <selection activeCell="J26" sqref="J26"/>
    </sheetView>
  </sheetViews>
  <sheetFormatPr defaultColWidth="9.1328125" defaultRowHeight="13.15"/>
  <cols>
    <col min="1" max="2" width="9.1328125" style="55"/>
    <col min="3" max="3" width="19.265625" style="55" customWidth="1"/>
    <col min="4" max="4" width="8.86328125" style="65" customWidth="1"/>
    <col min="5" max="6" width="8" style="65" customWidth="1"/>
    <col min="7" max="7" width="2.1328125" style="55" customWidth="1"/>
    <col min="8" max="9" width="9.1328125" style="55"/>
    <col min="10" max="10" width="18.73046875" style="55" customWidth="1"/>
    <col min="11" max="11" width="8.3984375" style="55" bestFit="1" customWidth="1"/>
    <col min="12" max="12" width="6" style="55" customWidth="1"/>
    <col min="13" max="16384" width="9.1328125" style="55"/>
  </cols>
  <sheetData>
    <row r="2" spans="1:15" ht="12.75" customHeight="1">
      <c r="F2" s="251" t="s">
        <v>0</v>
      </c>
      <c r="G2" s="251"/>
      <c r="H2" s="251"/>
      <c r="I2" s="251"/>
      <c r="J2" s="251"/>
      <c r="K2" s="251"/>
      <c r="L2" s="30"/>
      <c r="M2" s="30"/>
      <c r="N2" s="30"/>
    </row>
    <row r="3" spans="1:15" ht="12.75" customHeight="1">
      <c r="G3" s="254" t="s">
        <v>141</v>
      </c>
      <c r="H3" s="254"/>
      <c r="I3" s="254"/>
      <c r="J3" s="254"/>
      <c r="K3" s="254"/>
      <c r="L3" s="69"/>
      <c r="M3" s="31"/>
      <c r="N3" s="31"/>
    </row>
    <row r="4" spans="1:15" ht="12.75" customHeight="1">
      <c r="F4" s="255" t="s">
        <v>1</v>
      </c>
      <c r="G4" s="255"/>
      <c r="H4" s="255"/>
      <c r="I4" s="255"/>
      <c r="J4" s="255"/>
      <c r="K4" s="255"/>
      <c r="L4" s="32"/>
      <c r="M4" s="31"/>
      <c r="N4" s="31"/>
    </row>
    <row r="5" spans="1:15">
      <c r="G5" s="256"/>
      <c r="H5" s="256"/>
      <c r="I5" s="256"/>
      <c r="J5" s="256"/>
      <c r="K5" s="256"/>
      <c r="L5" s="32"/>
      <c r="M5" s="32"/>
      <c r="N5" s="32"/>
      <c r="O5" s="26"/>
    </row>
    <row r="6" spans="1:15" ht="12.7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5" ht="12.75" customHeight="1">
      <c r="A7" s="330" t="s">
        <v>80</v>
      </c>
      <c r="B7" s="330"/>
      <c r="C7" s="330"/>
      <c r="D7" s="330"/>
      <c r="E7" s="330"/>
      <c r="F7" s="330"/>
      <c r="G7" s="330"/>
      <c r="H7" s="330"/>
      <c r="I7" s="330"/>
      <c r="J7" s="330"/>
      <c r="K7" s="330"/>
      <c r="L7" s="330"/>
    </row>
    <row r="9" spans="1:15">
      <c r="A9" s="26" t="s">
        <v>3</v>
      </c>
      <c r="B9" s="26"/>
      <c r="C9" s="26" t="str">
        <f>'Vessel Ullage'!D8</f>
        <v>CAPE KENNEDY</v>
      </c>
      <c r="D9" s="26"/>
      <c r="E9" s="26" t="s">
        <v>4</v>
      </c>
      <c r="F9" s="26"/>
      <c r="G9" s="26" t="str">
        <f>'Vessel Ullage'!J8</f>
        <v>VLSFO 0.5% S</v>
      </c>
      <c r="K9" s="26"/>
    </row>
    <row r="10" spans="1:15">
      <c r="A10" s="26"/>
      <c r="B10" s="26"/>
      <c r="C10" s="26"/>
      <c r="D10" s="26"/>
      <c r="E10" s="26" t="s">
        <v>6</v>
      </c>
      <c r="F10" s="26"/>
      <c r="G10" s="26" t="str">
        <f>'Vessel Ullage'!J9</f>
        <v>Paranagua Port - Shed 212</v>
      </c>
      <c r="K10" s="26"/>
    </row>
    <row r="11" spans="1:15">
      <c r="A11" s="26" t="s">
        <v>7</v>
      </c>
      <c r="B11" s="26"/>
      <c r="C11" s="57" t="str">
        <f>'Vessel Ullage'!D10</f>
        <v>OMS V</v>
      </c>
      <c r="D11" s="57"/>
      <c r="E11" s="26" t="s">
        <v>8</v>
      </c>
      <c r="F11" s="26"/>
      <c r="G11" s="26" t="str">
        <f>'Vessel Ullage'!J10</f>
        <v>April 14th, 2026</v>
      </c>
      <c r="K11" s="26"/>
    </row>
    <row r="12" spans="1:15">
      <c r="A12" s="26"/>
      <c r="B12" s="26"/>
      <c r="C12" s="252"/>
      <c r="D12" s="252"/>
      <c r="E12" s="26" t="s">
        <v>9</v>
      </c>
      <c r="F12" s="26"/>
      <c r="G12" s="26" t="str">
        <f>'Vessel Ullage'!J11</f>
        <v>16:50 x 22:00 h/LT</v>
      </c>
      <c r="K12" s="26"/>
    </row>
    <row r="13" spans="1:15" ht="12.75" customHeight="1">
      <c r="D13" s="55"/>
      <c r="E13" s="55"/>
      <c r="F13" s="55"/>
    </row>
    <row r="15" spans="1:15">
      <c r="A15" s="331" t="s">
        <v>81</v>
      </c>
      <c r="B15" s="331"/>
      <c r="C15" s="332"/>
      <c r="D15" s="67" t="s">
        <v>82</v>
      </c>
      <c r="E15" s="332" t="s">
        <v>83</v>
      </c>
      <c r="F15" s="333"/>
      <c r="G15" s="61"/>
      <c r="H15" s="323"/>
      <c r="I15" s="323"/>
      <c r="J15" s="323"/>
      <c r="K15" s="122"/>
      <c r="L15" s="122"/>
    </row>
    <row r="16" spans="1:15">
      <c r="A16" s="324" t="s">
        <v>84</v>
      </c>
      <c r="B16" s="325"/>
      <c r="C16" s="326"/>
      <c r="D16" s="203">
        <v>46126</v>
      </c>
      <c r="E16" s="211">
        <v>0.53472222222222221</v>
      </c>
      <c r="F16" s="211" t="s">
        <v>143</v>
      </c>
      <c r="G16" s="61"/>
      <c r="H16" s="322"/>
      <c r="I16" s="322"/>
      <c r="J16" s="322"/>
      <c r="K16" s="120"/>
      <c r="L16" s="121"/>
    </row>
    <row r="17" spans="1:25">
      <c r="A17" s="327" t="s">
        <v>85</v>
      </c>
      <c r="B17" s="328"/>
      <c r="C17" s="329"/>
      <c r="D17" s="203">
        <v>46126</v>
      </c>
      <c r="E17" s="211">
        <v>0.59375</v>
      </c>
      <c r="F17" s="211" t="s">
        <v>143</v>
      </c>
      <c r="G17" s="61"/>
      <c r="H17" s="123"/>
      <c r="I17" s="123"/>
      <c r="J17" s="123"/>
      <c r="K17" s="120"/>
      <c r="L17" s="121"/>
      <c r="Y17" s="192">
        <v>21418555</v>
      </c>
    </row>
    <row r="18" spans="1:25" hidden="1">
      <c r="A18" s="334" t="s">
        <v>86</v>
      </c>
      <c r="B18" s="335"/>
      <c r="C18" s="336"/>
      <c r="D18" s="203">
        <v>46126</v>
      </c>
      <c r="E18" s="204"/>
      <c r="F18" s="204"/>
      <c r="G18" s="61"/>
      <c r="H18" s="123"/>
      <c r="I18" s="123"/>
      <c r="J18" s="123"/>
      <c r="K18" s="120"/>
      <c r="L18" s="121"/>
    </row>
    <row r="19" spans="1:25" hidden="1">
      <c r="A19" s="337"/>
      <c r="B19" s="338"/>
      <c r="C19" s="339"/>
      <c r="D19" s="203">
        <v>46126</v>
      </c>
      <c r="E19" s="204"/>
      <c r="F19" s="204"/>
      <c r="G19" s="61"/>
      <c r="H19" s="123"/>
      <c r="I19" s="123"/>
      <c r="J19" s="123"/>
      <c r="K19" s="120"/>
      <c r="L19" s="121"/>
    </row>
    <row r="20" spans="1:25">
      <c r="A20" s="78" t="s">
        <v>87</v>
      </c>
      <c r="B20" s="79"/>
      <c r="C20" s="80"/>
      <c r="D20" s="203">
        <v>46126</v>
      </c>
      <c r="E20" s="211">
        <v>0.73611111111111116</v>
      </c>
      <c r="F20" s="211" t="s">
        <v>143</v>
      </c>
      <c r="G20" s="61"/>
      <c r="H20" s="123"/>
      <c r="I20" s="123"/>
      <c r="J20" s="123"/>
      <c r="K20" s="120"/>
      <c r="L20" s="121"/>
    </row>
    <row r="21" spans="1:25">
      <c r="A21" s="78" t="s">
        <v>88</v>
      </c>
      <c r="B21" s="79"/>
      <c r="C21" s="79"/>
      <c r="D21" s="203">
        <v>46126</v>
      </c>
      <c r="E21" s="211">
        <v>0.70138888888888884</v>
      </c>
      <c r="F21" s="197" t="s">
        <v>143</v>
      </c>
      <c r="G21" s="61"/>
      <c r="H21" s="123"/>
      <c r="I21" s="123"/>
      <c r="J21" s="123"/>
      <c r="K21" s="120"/>
      <c r="L21" s="121"/>
    </row>
    <row r="22" spans="1:25">
      <c r="A22" s="78" t="s">
        <v>89</v>
      </c>
      <c r="B22" s="79"/>
      <c r="C22" s="79"/>
      <c r="D22" s="203">
        <v>46126</v>
      </c>
      <c r="E22" s="211">
        <v>0.70833333333333337</v>
      </c>
      <c r="F22" s="197" t="s">
        <v>143</v>
      </c>
      <c r="G22" s="62"/>
      <c r="H22" s="123"/>
      <c r="I22" s="123"/>
      <c r="J22" s="123"/>
      <c r="K22" s="120"/>
      <c r="L22" s="121"/>
    </row>
    <row r="23" spans="1:25">
      <c r="A23" s="313" t="s">
        <v>90</v>
      </c>
      <c r="B23" s="314"/>
      <c r="C23" s="315"/>
      <c r="D23" s="203">
        <v>46126</v>
      </c>
      <c r="E23" s="211">
        <v>0.71527777777777779</v>
      </c>
      <c r="F23" s="197">
        <v>0.73958333333333337</v>
      </c>
      <c r="G23" s="62"/>
      <c r="H23" s="123"/>
      <c r="I23" s="123"/>
      <c r="J23" s="123"/>
      <c r="K23" s="120"/>
      <c r="L23" s="121"/>
    </row>
    <row r="24" spans="1:25" ht="12.75" customHeight="1">
      <c r="A24" s="78" t="s">
        <v>91</v>
      </c>
      <c r="B24" s="79"/>
      <c r="C24" s="80"/>
      <c r="D24" s="203">
        <v>46126</v>
      </c>
      <c r="E24" s="211">
        <v>0.75</v>
      </c>
      <c r="F24" s="211" t="s">
        <v>143</v>
      </c>
      <c r="G24" s="62"/>
      <c r="H24" s="123"/>
      <c r="I24" s="123"/>
      <c r="J24" s="123"/>
      <c r="K24" s="120"/>
      <c r="L24" s="121"/>
    </row>
    <row r="25" spans="1:25">
      <c r="A25" s="313" t="s">
        <v>92</v>
      </c>
      <c r="B25" s="314"/>
      <c r="C25" s="315"/>
      <c r="D25" s="203">
        <v>46126</v>
      </c>
      <c r="E25" s="211">
        <v>0.75694444444444442</v>
      </c>
      <c r="F25" s="211">
        <v>0.77083333333333337</v>
      </c>
      <c r="G25" s="62"/>
      <c r="H25" s="123"/>
      <c r="I25" s="123"/>
      <c r="J25" s="123"/>
      <c r="K25" s="120"/>
      <c r="L25" s="121"/>
    </row>
    <row r="26" spans="1:25">
      <c r="A26" s="78" t="s">
        <v>93</v>
      </c>
      <c r="B26" s="85"/>
      <c r="C26" s="85"/>
      <c r="D26" s="203">
        <v>46126</v>
      </c>
      <c r="E26" s="211">
        <v>0.80555555555555558</v>
      </c>
      <c r="F26" s="211" t="s">
        <v>143</v>
      </c>
      <c r="G26" s="62"/>
      <c r="H26" s="123"/>
      <c r="I26" s="123"/>
      <c r="J26" s="123"/>
      <c r="K26" s="120"/>
      <c r="L26" s="121"/>
    </row>
    <row r="27" spans="1:25">
      <c r="A27" s="78" t="s">
        <v>94</v>
      </c>
      <c r="B27" s="79"/>
      <c r="C27" s="79"/>
      <c r="D27" s="203">
        <v>46126</v>
      </c>
      <c r="E27" s="211">
        <v>0.84375</v>
      </c>
      <c r="F27" s="211">
        <v>0.87847222222222221</v>
      </c>
      <c r="G27" s="62"/>
      <c r="H27" s="123"/>
      <c r="I27" s="123"/>
      <c r="J27" s="123"/>
      <c r="K27" s="120"/>
      <c r="L27" s="121"/>
    </row>
    <row r="28" spans="1:25">
      <c r="A28" s="313" t="s">
        <v>95</v>
      </c>
      <c r="B28" s="314"/>
      <c r="C28" s="315"/>
      <c r="D28" s="203">
        <v>46126</v>
      </c>
      <c r="E28" s="211">
        <v>0.88194444444444442</v>
      </c>
      <c r="F28" s="211">
        <v>0.88888888888888884</v>
      </c>
      <c r="G28" s="62"/>
      <c r="H28" s="123"/>
      <c r="I28" s="123"/>
      <c r="J28" s="123"/>
      <c r="K28" s="120"/>
      <c r="L28" s="121"/>
    </row>
    <row r="29" spans="1:25">
      <c r="A29" s="313" t="s">
        <v>96</v>
      </c>
      <c r="B29" s="314"/>
      <c r="C29" s="315"/>
      <c r="D29" s="203">
        <v>46126</v>
      </c>
      <c r="E29" s="211">
        <v>0.89236111111111116</v>
      </c>
      <c r="F29" s="211">
        <v>0.89583333333333337</v>
      </c>
      <c r="G29" s="62"/>
      <c r="H29" s="123"/>
      <c r="I29" s="123"/>
      <c r="J29" s="123"/>
      <c r="K29" s="120"/>
      <c r="L29" s="121"/>
    </row>
    <row r="30" spans="1:25">
      <c r="A30" s="313" t="s">
        <v>97</v>
      </c>
      <c r="B30" s="314"/>
      <c r="C30" s="315"/>
      <c r="D30" s="203">
        <v>46126</v>
      </c>
      <c r="E30" s="211">
        <v>0.89930555555555558</v>
      </c>
      <c r="F30" s="211">
        <v>0.90277777777777779</v>
      </c>
      <c r="G30" s="62"/>
      <c r="H30" s="123"/>
      <c r="I30" s="123"/>
      <c r="J30" s="123"/>
      <c r="K30" s="120"/>
      <c r="L30" s="121"/>
    </row>
    <row r="31" spans="1:25">
      <c r="A31" s="313" t="s">
        <v>98</v>
      </c>
      <c r="B31" s="314"/>
      <c r="C31" s="315"/>
      <c r="D31" s="203">
        <v>46126</v>
      </c>
      <c r="E31" s="211">
        <v>0.91319444444444442</v>
      </c>
      <c r="F31" s="211" t="s">
        <v>143</v>
      </c>
      <c r="G31" s="62"/>
      <c r="H31" s="123"/>
      <c r="I31" s="123"/>
      <c r="J31" s="123"/>
      <c r="K31" s="120"/>
      <c r="L31" s="121"/>
    </row>
    <row r="32" spans="1:25">
      <c r="A32" s="78" t="s">
        <v>99</v>
      </c>
      <c r="B32" s="79"/>
      <c r="C32" s="79"/>
      <c r="D32" s="203">
        <v>46126</v>
      </c>
      <c r="E32" s="211">
        <v>0.90972222222222221</v>
      </c>
      <c r="F32" s="211" t="s">
        <v>143</v>
      </c>
      <c r="G32" s="62"/>
      <c r="H32" s="322"/>
      <c r="I32" s="322"/>
      <c r="J32" s="322"/>
      <c r="K32" s="120"/>
      <c r="L32" s="124"/>
    </row>
    <row r="33" spans="1:13">
      <c r="A33" s="319" t="s">
        <v>100</v>
      </c>
      <c r="B33" s="320"/>
      <c r="C33" s="320"/>
      <c r="D33" s="203">
        <v>46126</v>
      </c>
      <c r="E33" s="211">
        <v>0.91666666666666663</v>
      </c>
      <c r="F33" s="211" t="s">
        <v>143</v>
      </c>
      <c r="G33" s="62"/>
      <c r="H33" s="321"/>
      <c r="I33" s="321"/>
      <c r="J33" s="321"/>
      <c r="K33" s="125"/>
      <c r="L33" s="124"/>
    </row>
    <row r="34" spans="1:13">
      <c r="A34" s="318"/>
      <c r="B34" s="318"/>
      <c r="C34" s="318"/>
    </row>
    <row r="35" spans="1:13" ht="12.75" customHeight="1">
      <c r="A35" s="312"/>
      <c r="B35" s="312"/>
      <c r="C35" s="312"/>
    </row>
    <row r="36" spans="1:13">
      <c r="A36" s="317" t="s">
        <v>101</v>
      </c>
      <c r="B36" s="317"/>
      <c r="C36" s="317"/>
    </row>
    <row r="37" spans="1:13">
      <c r="A37" s="55" t="s">
        <v>102</v>
      </c>
      <c r="D37" s="120"/>
      <c r="E37" s="120"/>
      <c r="G37" s="57"/>
      <c r="M37" s="57"/>
    </row>
    <row r="38" spans="1:13">
      <c r="D38" s="120"/>
      <c r="E38" s="120"/>
      <c r="F38" s="121"/>
      <c r="G38" s="57"/>
      <c r="M38" s="57"/>
    </row>
    <row r="46" spans="1:13">
      <c r="A46" s="55" t="s">
        <v>103</v>
      </c>
    </row>
    <row r="47" spans="1:13">
      <c r="A47" s="61"/>
      <c r="B47" s="61"/>
      <c r="C47" s="61"/>
      <c r="D47" s="66"/>
      <c r="E47" s="66"/>
      <c r="F47" s="66"/>
      <c r="G47" s="61"/>
      <c r="H47" s="61"/>
      <c r="I47" s="61"/>
      <c r="J47" s="61"/>
      <c r="K47" s="61"/>
      <c r="L47" s="61"/>
    </row>
    <row r="48" spans="1:13">
      <c r="A48" s="61"/>
      <c r="B48" s="61"/>
      <c r="C48" s="61"/>
      <c r="D48" s="66"/>
      <c r="E48" s="66"/>
      <c r="F48" s="66"/>
      <c r="G48" s="61"/>
      <c r="H48" s="61"/>
      <c r="I48" s="61"/>
      <c r="J48" s="61"/>
      <c r="K48" s="61"/>
      <c r="L48" s="61"/>
    </row>
    <row r="49" spans="1:12">
      <c r="A49" s="61"/>
      <c r="B49" s="61"/>
      <c r="C49" s="61"/>
      <c r="D49" s="66"/>
      <c r="E49" s="66"/>
      <c r="F49" s="66"/>
      <c r="G49" s="61"/>
      <c r="H49" s="61"/>
      <c r="I49" s="61"/>
      <c r="J49" s="61"/>
      <c r="K49" s="61"/>
      <c r="L49" s="61"/>
    </row>
    <row r="50" spans="1:12">
      <c r="A50" s="61"/>
      <c r="B50" s="61"/>
      <c r="C50" s="61"/>
      <c r="D50" s="66"/>
      <c r="E50" s="66"/>
      <c r="F50" s="66"/>
      <c r="G50" s="61"/>
      <c r="H50" s="61"/>
      <c r="I50" s="61"/>
      <c r="J50" s="61"/>
      <c r="K50" s="61"/>
      <c r="L50" s="61"/>
    </row>
    <row r="51" spans="1:12">
      <c r="A51" s="61"/>
      <c r="B51" s="61"/>
      <c r="C51" s="61"/>
      <c r="D51" s="66"/>
      <c r="E51" s="66"/>
      <c r="F51" s="66"/>
      <c r="G51" s="61"/>
      <c r="H51" s="61"/>
      <c r="I51" s="61"/>
      <c r="J51" s="61"/>
      <c r="K51" s="61"/>
      <c r="L51" s="61"/>
    </row>
    <row r="52" spans="1:12">
      <c r="A52" s="61"/>
      <c r="B52" s="61"/>
      <c r="C52" s="61"/>
      <c r="D52" s="66"/>
      <c r="E52" s="66"/>
      <c r="F52" s="66"/>
      <c r="G52" s="61"/>
      <c r="H52" s="61"/>
      <c r="I52" s="61"/>
      <c r="J52" s="61"/>
      <c r="K52" s="61"/>
      <c r="L52" s="61"/>
    </row>
    <row r="53" spans="1:12">
      <c r="A53" s="61"/>
      <c r="B53" s="61"/>
      <c r="C53" s="61"/>
      <c r="D53" s="66"/>
      <c r="E53" s="66"/>
      <c r="F53" s="66"/>
      <c r="G53" s="61"/>
      <c r="H53" s="61"/>
      <c r="I53" s="61"/>
      <c r="J53" s="61"/>
      <c r="K53" s="61"/>
      <c r="L53" s="61"/>
    </row>
    <row r="54" spans="1:12">
      <c r="A54" s="61"/>
      <c r="B54" s="61"/>
      <c r="C54" s="61"/>
      <c r="D54" s="66"/>
      <c r="E54" s="66"/>
      <c r="F54" s="66"/>
      <c r="G54" s="61"/>
      <c r="H54" s="61"/>
      <c r="I54" s="61"/>
      <c r="J54" s="61"/>
      <c r="K54" s="61"/>
      <c r="L54" s="61"/>
    </row>
    <row r="56" spans="1:12">
      <c r="G56" s="58"/>
      <c r="H56" s="59"/>
      <c r="I56" s="59"/>
      <c r="K56" s="60"/>
    </row>
    <row r="57" spans="1:12">
      <c r="A57" s="39" t="s">
        <v>57</v>
      </c>
      <c r="B57" s="39"/>
      <c r="C57" s="316" t="str">
        <f>'Vessel Ullage'!E74</f>
        <v>Geraimovych, Volodymyr</v>
      </c>
      <c r="D57" s="316"/>
      <c r="E57" s="47"/>
      <c r="G57" s="318" t="s">
        <v>58</v>
      </c>
      <c r="H57" s="318"/>
      <c r="I57" s="316" t="str">
        <f>'Vessel Ullage'!L74</f>
        <v>Lara, Ernesto</v>
      </c>
      <c r="J57" s="316"/>
      <c r="K57" s="316"/>
    </row>
    <row r="58" spans="1:12">
      <c r="A58" s="57"/>
    </row>
  </sheetData>
  <sheetProtection selectLockedCells="1"/>
  <mergeCells count="28">
    <mergeCell ref="F2:K2"/>
    <mergeCell ref="G3:K3"/>
    <mergeCell ref="F4:K4"/>
    <mergeCell ref="A33:C33"/>
    <mergeCell ref="H33:J33"/>
    <mergeCell ref="C12:D12"/>
    <mergeCell ref="H32:J32"/>
    <mergeCell ref="H15:J15"/>
    <mergeCell ref="H16:J16"/>
    <mergeCell ref="A16:C16"/>
    <mergeCell ref="A17:C17"/>
    <mergeCell ref="G5:K5"/>
    <mergeCell ref="A7:L7"/>
    <mergeCell ref="A15:C15"/>
    <mergeCell ref="E15:F15"/>
    <mergeCell ref="A18:C19"/>
    <mergeCell ref="A35:C35"/>
    <mergeCell ref="A23:C23"/>
    <mergeCell ref="C57:D57"/>
    <mergeCell ref="A36:C36"/>
    <mergeCell ref="I57:K57"/>
    <mergeCell ref="A34:C34"/>
    <mergeCell ref="G57:H57"/>
    <mergeCell ref="A25:C25"/>
    <mergeCell ref="A28:C28"/>
    <mergeCell ref="A29:C29"/>
    <mergeCell ref="A30:C30"/>
    <mergeCell ref="A31:C31"/>
  </mergeCells>
  <phoneticPr fontId="0" type="noConversion"/>
  <hyperlinks>
    <hyperlink ref="F4" r:id="rId1" xr:uid="{00000000-0004-0000-02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2"/>
  <sheetViews>
    <sheetView showGridLines="0" view="pageBreakPreview" topLeftCell="A8" zoomScaleNormal="100" zoomScaleSheetLayoutView="100" workbookViewId="0">
      <selection activeCell="I26" sqref="I26"/>
    </sheetView>
  </sheetViews>
  <sheetFormatPr defaultColWidth="9.1328125" defaultRowHeight="13.15"/>
  <cols>
    <col min="1" max="2" width="9.1328125" style="26"/>
    <col min="3" max="3" width="12.265625" style="26" customWidth="1"/>
    <col min="4" max="4" width="12.1328125" style="26" customWidth="1"/>
    <col min="5" max="5" width="14" style="26" customWidth="1"/>
    <col min="6" max="6" width="3.59765625" style="26" customWidth="1"/>
    <col min="7" max="7" width="13.73046875" style="26" customWidth="1"/>
    <col min="8" max="11" width="9.1328125" style="26"/>
    <col min="12" max="12" width="4.265625" style="26" customWidth="1"/>
    <col min="13" max="16384" width="9.1328125" style="26"/>
  </cols>
  <sheetData>
    <row r="1" spans="1:12">
      <c r="A1" s="25"/>
      <c r="B1" s="25"/>
      <c r="C1" s="25"/>
      <c r="D1" s="25"/>
      <c r="E1" s="25"/>
      <c r="F1" s="25"/>
      <c r="G1" s="25"/>
      <c r="H1" s="25"/>
      <c r="I1" s="25"/>
      <c r="J1" s="25"/>
      <c r="K1" s="40"/>
    </row>
    <row r="2" spans="1:12" ht="15.75">
      <c r="A2" s="25"/>
      <c r="B2" s="25"/>
      <c r="C2" s="25"/>
      <c r="D2" s="25"/>
      <c r="E2" s="25"/>
      <c r="F2" s="40"/>
      <c r="G2" s="251" t="s">
        <v>0</v>
      </c>
      <c r="H2" s="251"/>
      <c r="I2" s="251"/>
      <c r="J2" s="251"/>
      <c r="K2" s="251"/>
      <c r="L2" s="30"/>
    </row>
    <row r="3" spans="1:12" ht="12.75" customHeight="1">
      <c r="A3" s="25"/>
      <c r="B3" s="25"/>
      <c r="C3" s="25"/>
      <c r="D3" s="25"/>
      <c r="E3" s="25"/>
      <c r="F3" s="40"/>
      <c r="G3" s="254" t="s">
        <v>141</v>
      </c>
      <c r="H3" s="254"/>
      <c r="I3" s="254"/>
      <c r="J3" s="254"/>
      <c r="K3" s="254"/>
      <c r="L3" s="69"/>
    </row>
    <row r="4" spans="1:12" ht="12.75" customHeight="1">
      <c r="A4" s="25"/>
      <c r="B4" s="25"/>
      <c r="C4" s="25"/>
      <c r="D4" s="25"/>
      <c r="E4" s="25"/>
      <c r="F4" s="255" t="s">
        <v>1</v>
      </c>
      <c r="G4" s="255"/>
      <c r="H4" s="255"/>
      <c r="I4" s="255"/>
      <c r="J4" s="255"/>
      <c r="K4" s="255"/>
      <c r="L4" s="32"/>
    </row>
    <row r="5" spans="1:12" ht="12.75" customHeight="1">
      <c r="A5" s="41"/>
      <c r="B5" s="41"/>
      <c r="C5" s="41"/>
      <c r="D5" s="41"/>
      <c r="E5" s="41"/>
      <c r="F5" s="41"/>
      <c r="G5" s="256"/>
      <c r="H5" s="256"/>
      <c r="I5" s="256"/>
      <c r="J5" s="256"/>
      <c r="K5" s="256"/>
      <c r="L5" s="256"/>
    </row>
    <row r="6" spans="1:12" ht="12.7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2" ht="12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2" ht="12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2" ht="12.75" customHeight="1">
      <c r="A9" s="253" t="s">
        <v>104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</row>
    <row r="11" spans="1:12">
      <c r="A11" s="25" t="s">
        <v>3</v>
      </c>
      <c r="C11" s="26" t="str">
        <f>'Vessel Ullage'!D8</f>
        <v>CAPE KENNEDY</v>
      </c>
      <c r="E11" s="142" t="s">
        <v>4</v>
      </c>
      <c r="G11" s="26" t="str">
        <f>'Vessel Ullage'!J8</f>
        <v>VLSFO 0.5% S</v>
      </c>
    </row>
    <row r="12" spans="1:12">
      <c r="A12" s="25"/>
      <c r="E12" s="25" t="s">
        <v>6</v>
      </c>
      <c r="G12" s="26" t="str">
        <f>'Vessel Ullage'!J9</f>
        <v>Paranagua Port - Shed 212</v>
      </c>
    </row>
    <row r="13" spans="1:12">
      <c r="A13" s="25" t="s">
        <v>7</v>
      </c>
      <c r="C13" s="57" t="str">
        <f>'Vessel Ullage'!D10</f>
        <v>OMS V</v>
      </c>
      <c r="D13" s="57"/>
      <c r="E13" s="25" t="s">
        <v>8</v>
      </c>
      <c r="G13" s="26" t="str">
        <f>'Vessel Ullage'!J10</f>
        <v>April 14th, 2026</v>
      </c>
    </row>
    <row r="14" spans="1:12">
      <c r="C14" s="252"/>
      <c r="D14" s="252"/>
      <c r="E14" s="25" t="s">
        <v>9</v>
      </c>
      <c r="G14" s="26" t="str">
        <f>'Vessel Ullage'!J11</f>
        <v>16:50 x 22:00 h/LT</v>
      </c>
    </row>
    <row r="17" spans="1:11">
      <c r="A17" s="26" t="s">
        <v>105</v>
      </c>
    </row>
    <row r="18" spans="1:11" ht="13.5" thickBot="1"/>
    <row r="19" spans="1:11">
      <c r="A19" s="351" t="s">
        <v>106</v>
      </c>
      <c r="B19" s="352"/>
      <c r="C19" s="352"/>
      <c r="D19" s="378" t="str">
        <f>'Vessel Ullage'!D10</f>
        <v>OMS V</v>
      </c>
      <c r="E19" s="379"/>
      <c r="H19" s="55"/>
      <c r="I19" s="55"/>
      <c r="J19" s="55"/>
      <c r="K19" s="55"/>
    </row>
    <row r="20" spans="1:11">
      <c r="A20" s="363" t="s">
        <v>19</v>
      </c>
      <c r="B20" s="364"/>
      <c r="C20" s="364"/>
      <c r="D20" s="353" t="str">
        <f>'Vessel Ullage'!J8</f>
        <v>VLSFO 0.5% S</v>
      </c>
      <c r="E20" s="354"/>
      <c r="H20" s="55"/>
      <c r="I20" s="55"/>
      <c r="J20" s="55"/>
      <c r="K20" s="55"/>
    </row>
    <row r="21" spans="1:11">
      <c r="A21" s="363" t="s">
        <v>107</v>
      </c>
      <c r="B21" s="364"/>
      <c r="C21" s="364"/>
      <c r="D21" s="355" t="s">
        <v>147</v>
      </c>
      <c r="E21" s="356"/>
      <c r="F21" s="57"/>
      <c r="G21" s="65"/>
      <c r="H21" s="55"/>
      <c r="I21" s="55"/>
      <c r="J21" s="55"/>
      <c r="K21" s="55"/>
    </row>
    <row r="22" spans="1:11" ht="13.5" thickBot="1">
      <c r="A22" s="365" t="s">
        <v>108</v>
      </c>
      <c r="B22" s="366"/>
      <c r="C22" s="366"/>
      <c r="D22" s="380" t="s">
        <v>109</v>
      </c>
      <c r="E22" s="381"/>
      <c r="F22" s="57"/>
      <c r="G22" s="65"/>
      <c r="H22" s="55"/>
      <c r="I22" s="55"/>
      <c r="J22" s="55"/>
      <c r="K22" s="55"/>
    </row>
    <row r="23" spans="1:11" ht="13.5" thickBot="1">
      <c r="A23" s="367" t="s">
        <v>110</v>
      </c>
      <c r="B23" s="368"/>
      <c r="C23" s="368"/>
      <c r="D23" s="349" t="s">
        <v>111</v>
      </c>
      <c r="E23" s="350"/>
      <c r="F23" s="349" t="s">
        <v>111</v>
      </c>
      <c r="G23" s="350"/>
      <c r="H23" s="55"/>
      <c r="I23" s="55"/>
      <c r="J23" s="55"/>
      <c r="K23" s="55"/>
    </row>
    <row r="24" spans="1:11" ht="13.5" thickBot="1">
      <c r="A24" s="346" t="s">
        <v>112</v>
      </c>
      <c r="B24" s="347"/>
      <c r="C24" s="348"/>
      <c r="D24" s="359" t="s">
        <v>179</v>
      </c>
      <c r="E24" s="360"/>
      <c r="F24" s="357" t="s">
        <v>113</v>
      </c>
      <c r="G24" s="358"/>
      <c r="H24" s="55"/>
      <c r="I24" s="55"/>
      <c r="J24" s="55"/>
      <c r="K24" s="55"/>
    </row>
    <row r="25" spans="1:11">
      <c r="A25" s="370" t="s">
        <v>114</v>
      </c>
      <c r="B25" s="371"/>
      <c r="C25" s="371"/>
      <c r="D25" s="237" t="s">
        <v>115</v>
      </c>
      <c r="E25" s="345"/>
      <c r="F25" s="232" t="s">
        <v>116</v>
      </c>
      <c r="G25" s="345"/>
      <c r="H25" s="55"/>
      <c r="I25" s="55"/>
      <c r="J25" s="55"/>
      <c r="K25" s="55"/>
    </row>
    <row r="26" spans="1:11">
      <c r="A26" s="372" t="s">
        <v>117</v>
      </c>
      <c r="B26" s="373"/>
      <c r="C26" s="373"/>
      <c r="D26" s="384" t="s">
        <v>174</v>
      </c>
      <c r="E26" s="377"/>
      <c r="F26" s="376" t="s">
        <v>181</v>
      </c>
      <c r="G26" s="377"/>
      <c r="H26" s="105"/>
      <c r="I26" s="105"/>
      <c r="J26" s="105"/>
      <c r="K26" s="105"/>
    </row>
    <row r="27" spans="1:11">
      <c r="A27" s="143" t="s">
        <v>118</v>
      </c>
      <c r="B27" s="144"/>
      <c r="C27" s="145"/>
      <c r="D27" s="344" t="s">
        <v>175</v>
      </c>
      <c r="E27" s="343"/>
      <c r="F27" s="342" t="s">
        <v>182</v>
      </c>
      <c r="G27" s="343"/>
      <c r="H27" s="105"/>
      <c r="I27" s="105"/>
      <c r="J27" s="105"/>
      <c r="K27" s="105"/>
    </row>
    <row r="28" spans="1:11">
      <c r="A28" s="374" t="s">
        <v>119</v>
      </c>
      <c r="B28" s="375"/>
      <c r="C28" s="375"/>
      <c r="D28" s="344" t="s">
        <v>176</v>
      </c>
      <c r="E28" s="343"/>
      <c r="F28" s="342" t="s">
        <v>183</v>
      </c>
      <c r="G28" s="343"/>
      <c r="H28" s="105"/>
      <c r="I28" s="105"/>
      <c r="J28" s="105"/>
      <c r="K28" s="105"/>
    </row>
    <row r="29" spans="1:11">
      <c r="A29" s="374" t="s">
        <v>120</v>
      </c>
      <c r="B29" s="375"/>
      <c r="C29" s="375"/>
      <c r="D29" s="344" t="s">
        <v>177</v>
      </c>
      <c r="E29" s="343"/>
      <c r="F29" s="342" t="s">
        <v>184</v>
      </c>
      <c r="G29" s="343"/>
      <c r="H29" s="105"/>
      <c r="I29" s="105"/>
      <c r="J29" s="105"/>
      <c r="K29" s="105"/>
    </row>
    <row r="30" spans="1:11" ht="13.5" thickBot="1">
      <c r="A30" s="361" t="s">
        <v>121</v>
      </c>
      <c r="B30" s="362"/>
      <c r="C30" s="362"/>
      <c r="D30" s="369" t="s">
        <v>178</v>
      </c>
      <c r="E30" s="341"/>
      <c r="F30" s="344" t="s">
        <v>143</v>
      </c>
      <c r="G30" s="343"/>
      <c r="H30" s="105"/>
      <c r="I30" s="105"/>
      <c r="J30" s="105"/>
      <c r="K30" s="105"/>
    </row>
    <row r="31" spans="1:11" ht="13.5" hidden="1" thickBot="1">
      <c r="A31" s="361"/>
      <c r="B31" s="362"/>
      <c r="C31" s="362"/>
      <c r="D31" s="382"/>
      <c r="E31" s="383"/>
      <c r="F31" s="344" t="s">
        <v>143</v>
      </c>
      <c r="G31" s="343"/>
      <c r="H31" s="105"/>
      <c r="I31" s="105"/>
      <c r="J31" s="105"/>
      <c r="K31" s="105"/>
    </row>
    <row r="32" spans="1:11" ht="13.5" hidden="1" thickBot="1">
      <c r="A32" s="361"/>
      <c r="B32" s="362"/>
      <c r="C32" s="362"/>
      <c r="D32" s="369"/>
      <c r="E32" s="341"/>
      <c r="F32" s="340" t="s">
        <v>143</v>
      </c>
      <c r="G32" s="341"/>
    </row>
    <row r="35" spans="1:12">
      <c r="A35" s="26" t="s">
        <v>122</v>
      </c>
      <c r="C35" s="60"/>
      <c r="D35" s="60"/>
      <c r="E35" s="60"/>
      <c r="F35" s="60"/>
      <c r="G35" s="55"/>
      <c r="H35" s="55"/>
      <c r="I35" s="55"/>
      <c r="J35" s="55"/>
      <c r="K35" s="55"/>
      <c r="L35" s="55"/>
    </row>
    <row r="36" spans="1:12">
      <c r="C36" s="47"/>
      <c r="D36" s="47"/>
      <c r="E36" s="47"/>
      <c r="F36" s="47"/>
      <c r="G36" s="47"/>
      <c r="H36" s="47"/>
      <c r="I36" s="47"/>
      <c r="J36" s="47"/>
      <c r="K36" s="47"/>
    </row>
    <row r="37" spans="1:12">
      <c r="C37" s="47"/>
      <c r="D37" s="47"/>
      <c r="E37" s="47"/>
      <c r="F37" s="47"/>
      <c r="G37" s="47"/>
      <c r="H37" s="47"/>
      <c r="I37" s="47"/>
      <c r="J37" s="47"/>
      <c r="K37" s="47"/>
    </row>
    <row r="38" spans="1:12">
      <c r="C38" s="47"/>
      <c r="D38" s="47"/>
      <c r="E38" s="47"/>
      <c r="F38" s="47"/>
      <c r="G38" s="47"/>
      <c r="H38" s="47"/>
      <c r="I38" s="47"/>
      <c r="J38" s="47"/>
      <c r="K38" s="47"/>
    </row>
    <row r="39" spans="1:12">
      <c r="A39" s="48"/>
      <c r="B39" s="48"/>
      <c r="C39" s="48"/>
      <c r="D39" s="48"/>
      <c r="E39" s="36"/>
      <c r="F39" s="36"/>
      <c r="G39" s="36"/>
      <c r="H39" s="37"/>
      <c r="I39" s="37"/>
      <c r="K39" s="38"/>
    </row>
    <row r="40" spans="1:12">
      <c r="A40" s="39" t="s">
        <v>57</v>
      </c>
      <c r="B40" s="39"/>
      <c r="C40" s="316" t="str">
        <f>'Vessel Ullage'!E74</f>
        <v>Geraimovych, Volodymyr</v>
      </c>
      <c r="D40" s="316"/>
      <c r="G40" s="39" t="s">
        <v>58</v>
      </c>
      <c r="I40" s="316" t="str">
        <f>'Vessel Ullage'!L74</f>
        <v>Lara, Ernesto</v>
      </c>
      <c r="J40" s="316"/>
      <c r="K40" s="316"/>
    </row>
    <row r="42" spans="1:12">
      <c r="E42" s="26" t="s">
        <v>123</v>
      </c>
    </row>
  </sheetData>
  <sheetProtection selectLockedCells="1"/>
  <mergeCells count="45">
    <mergeCell ref="D19:E19"/>
    <mergeCell ref="D22:E22"/>
    <mergeCell ref="A20:C20"/>
    <mergeCell ref="A31:C31"/>
    <mergeCell ref="D31:E31"/>
    <mergeCell ref="D30:E30"/>
    <mergeCell ref="A30:C30"/>
    <mergeCell ref="D26:E26"/>
    <mergeCell ref="F24:G24"/>
    <mergeCell ref="F23:G23"/>
    <mergeCell ref="D24:E24"/>
    <mergeCell ref="A32:C32"/>
    <mergeCell ref="A21:C21"/>
    <mergeCell ref="A22:C22"/>
    <mergeCell ref="A23:C23"/>
    <mergeCell ref="D32:E32"/>
    <mergeCell ref="A25:C25"/>
    <mergeCell ref="A26:C26"/>
    <mergeCell ref="A28:C28"/>
    <mergeCell ref="F25:G25"/>
    <mergeCell ref="A29:C29"/>
    <mergeCell ref="F26:G26"/>
    <mergeCell ref="F27:G27"/>
    <mergeCell ref="F28:G28"/>
    <mergeCell ref="C40:D40"/>
    <mergeCell ref="D28:E28"/>
    <mergeCell ref="D29:E29"/>
    <mergeCell ref="D27:E27"/>
    <mergeCell ref="G2:K2"/>
    <mergeCell ref="D25:E25"/>
    <mergeCell ref="C14:D14"/>
    <mergeCell ref="G3:K3"/>
    <mergeCell ref="F4:K4"/>
    <mergeCell ref="A24:C24"/>
    <mergeCell ref="D23:E23"/>
    <mergeCell ref="G5:L5"/>
    <mergeCell ref="A9:K9"/>
    <mergeCell ref="A19:C19"/>
    <mergeCell ref="D20:E20"/>
    <mergeCell ref="D21:E21"/>
    <mergeCell ref="F32:G32"/>
    <mergeCell ref="F29:G29"/>
    <mergeCell ref="F31:G31"/>
    <mergeCell ref="F30:G30"/>
    <mergeCell ref="I40:K40"/>
  </mergeCells>
  <phoneticPr fontId="0" type="noConversion"/>
  <hyperlinks>
    <hyperlink ref="F4" r:id="rId1" xr:uid="{00000000-0004-0000-0300-000000000000}"/>
  </hyperlinks>
  <pageMargins left="0.31496062992125984" right="0.23622047244094491" top="0.98425196850393704" bottom="0.98425196850393704" header="0.51181102362204722" footer="0.51181102362204722"/>
  <pageSetup paperSize="9" scale="84" orientation="portrait" blackAndWhite="1" horizontalDpi="300" verticalDpi="3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showGridLines="0" view="pageBreakPreview" zoomScaleNormal="100" zoomScaleSheetLayoutView="100" workbookViewId="0">
      <selection activeCell="D13" sqref="D13"/>
    </sheetView>
  </sheetViews>
  <sheetFormatPr defaultColWidth="9.1328125" defaultRowHeight="13.15"/>
  <cols>
    <col min="1" max="1" width="9.3984375" style="6" bestFit="1" customWidth="1"/>
    <col min="2" max="2" width="14.1328125" style="6" customWidth="1"/>
    <col min="3" max="3" width="2.73046875" style="6" customWidth="1"/>
    <col min="4" max="4" width="17.73046875" style="6" bestFit="1" customWidth="1"/>
    <col min="5" max="5" width="13.265625" style="6" customWidth="1"/>
    <col min="6" max="6" width="10.265625" style="6" bestFit="1" customWidth="1"/>
    <col min="7" max="7" width="10.1328125" style="6" bestFit="1" customWidth="1"/>
    <col min="8" max="8" width="9.1328125" style="6"/>
    <col min="9" max="9" width="27.86328125" style="6" customWidth="1"/>
    <col min="10" max="10" width="7" style="6" customWidth="1"/>
    <col min="11" max="16384" width="9.1328125" style="6"/>
  </cols>
  <sheetData>
    <row r="1" spans="1:12">
      <c r="A1" s="16"/>
      <c r="B1" s="16"/>
      <c r="C1" s="16"/>
      <c r="D1" s="16"/>
      <c r="E1" s="16"/>
      <c r="F1" s="16"/>
      <c r="G1" s="16"/>
      <c r="H1" s="16"/>
      <c r="I1" s="16"/>
    </row>
    <row r="2" spans="1:12" ht="15.75">
      <c r="A2" s="16"/>
      <c r="B2" s="16"/>
      <c r="C2" s="16"/>
      <c r="D2" s="16"/>
      <c r="E2" s="16"/>
      <c r="F2" s="16"/>
      <c r="G2" s="251" t="s">
        <v>0</v>
      </c>
      <c r="H2" s="251"/>
      <c r="I2" s="251"/>
      <c r="J2" s="251"/>
      <c r="K2" s="30"/>
      <c r="L2" s="30"/>
    </row>
    <row r="3" spans="1:12" ht="15.75" customHeight="1">
      <c r="A3" s="16"/>
      <c r="B3" s="16"/>
      <c r="C3" s="16"/>
      <c r="D3" s="16"/>
      <c r="E3" s="16"/>
      <c r="F3" s="16"/>
      <c r="G3" s="29"/>
      <c r="H3" s="254" t="s">
        <v>141</v>
      </c>
      <c r="I3" s="254"/>
      <c r="J3" s="254"/>
      <c r="K3" s="69"/>
      <c r="L3" s="69"/>
    </row>
    <row r="4" spans="1:12" ht="14.25">
      <c r="A4" s="16"/>
      <c r="B4" s="16"/>
      <c r="C4" s="16"/>
      <c r="D4" s="16"/>
      <c r="E4" s="16"/>
      <c r="F4" s="16"/>
      <c r="G4" s="255" t="s">
        <v>1</v>
      </c>
      <c r="H4" s="255"/>
      <c r="I4" s="255"/>
      <c r="J4" s="255"/>
      <c r="K4" s="141"/>
      <c r="L4" s="141"/>
    </row>
    <row r="5" spans="1:12">
      <c r="A5" s="16"/>
      <c r="B5" s="16"/>
      <c r="C5" s="16"/>
      <c r="D5" s="16"/>
      <c r="E5" s="16"/>
      <c r="F5" s="16"/>
      <c r="G5" s="24"/>
      <c r="H5" s="24"/>
      <c r="I5" s="24"/>
    </row>
    <row r="6" spans="1:12">
      <c r="A6" s="16"/>
      <c r="B6" s="16"/>
      <c r="C6" s="16"/>
      <c r="D6" s="16"/>
      <c r="E6" s="16"/>
      <c r="F6" s="16"/>
      <c r="G6" s="16"/>
      <c r="H6" s="16"/>
      <c r="I6" s="16"/>
    </row>
    <row r="8" spans="1:12" s="7" customFormat="1" ht="13.9">
      <c r="A8" s="26" t="s">
        <v>3</v>
      </c>
      <c r="B8" s="26"/>
      <c r="C8" s="26" t="str">
        <f>'Vessel Ullage'!D8</f>
        <v>CAPE KENNEDY</v>
      </c>
      <c r="D8" s="26"/>
      <c r="E8" s="26"/>
      <c r="F8" s="26" t="s">
        <v>4</v>
      </c>
      <c r="H8" s="26" t="str">
        <f>'Sounding Barge'!J9</f>
        <v>VLSFO 0.5% S</v>
      </c>
      <c r="J8" s="26"/>
    </row>
    <row r="9" spans="1:12" s="7" customFormat="1" ht="13.9">
      <c r="A9" s="26"/>
      <c r="B9" s="26"/>
      <c r="C9" s="26"/>
      <c r="D9" s="26"/>
      <c r="E9" s="26"/>
      <c r="F9" s="26" t="s">
        <v>6</v>
      </c>
      <c r="H9" s="26" t="str">
        <f>'Vessel Ullage'!J9</f>
        <v>Paranagua Port - Shed 212</v>
      </c>
      <c r="J9" s="26"/>
    </row>
    <row r="10" spans="1:12" s="7" customFormat="1" ht="13.9">
      <c r="A10" s="26" t="s">
        <v>7</v>
      </c>
      <c r="B10" s="26"/>
      <c r="C10" s="57" t="str">
        <f>'Vessel Ullage'!D10</f>
        <v>OMS V</v>
      </c>
      <c r="D10" s="57"/>
      <c r="E10" s="26"/>
      <c r="F10" s="26" t="s">
        <v>8</v>
      </c>
      <c r="H10" s="26" t="str">
        <f>'Vessel Ullage'!J10</f>
        <v>April 14th, 2026</v>
      </c>
      <c r="J10" s="26"/>
    </row>
    <row r="11" spans="1:12" s="7" customFormat="1" ht="13.9">
      <c r="A11" s="26"/>
      <c r="B11" s="26"/>
      <c r="C11" s="252"/>
      <c r="D11" s="252"/>
      <c r="E11" s="26"/>
      <c r="F11" s="26" t="s">
        <v>9</v>
      </c>
      <c r="H11" s="26" t="str">
        <f>'Vessel Ullage'!J11</f>
        <v>16:50 x 22:00 h/LT</v>
      </c>
      <c r="J11" s="26"/>
    </row>
    <row r="12" spans="1:12" s="7" customFormat="1" ht="13.9"/>
    <row r="13" spans="1:12" s="7" customFormat="1" ht="13.9">
      <c r="A13" s="218" t="s">
        <v>124</v>
      </c>
      <c r="B13" s="218"/>
      <c r="C13" s="218"/>
    </row>
    <row r="14" spans="1:12" s="7" customFormat="1" ht="13.9"/>
    <row r="15" spans="1:12" s="7" customFormat="1" ht="13.9">
      <c r="A15" s="7" t="s">
        <v>125</v>
      </c>
    </row>
    <row r="16" spans="1:12" s="7" customFormat="1" ht="13.9"/>
    <row r="18" spans="1:9" ht="12.75" customHeight="1">
      <c r="B18" s="17"/>
      <c r="C18" s="17"/>
      <c r="D18" s="17"/>
      <c r="E18" s="17"/>
      <c r="F18" s="190" t="s">
        <v>126</v>
      </c>
      <c r="G18" s="17"/>
      <c r="H18" s="17"/>
      <c r="I18" s="17"/>
    </row>
    <row r="19" spans="1:9">
      <c r="E19" s="8"/>
    </row>
    <row r="20" spans="1:9">
      <c r="E20" s="8"/>
    </row>
    <row r="22" spans="1:9" s="7" customFormat="1" ht="13.9"/>
    <row r="23" spans="1:9" s="7" customFormat="1" ht="13.9">
      <c r="A23" s="186" t="s">
        <v>127</v>
      </c>
      <c r="B23" s="186" t="str">
        <f>'Vessel Ullage'!D8</f>
        <v>CAPE KENNEDY</v>
      </c>
      <c r="C23" s="186"/>
      <c r="D23" s="187"/>
      <c r="F23" s="187" t="s">
        <v>128</v>
      </c>
      <c r="G23" s="188" t="str">
        <f>'Vessel Ullage'!J10</f>
        <v>April 14th, 2026</v>
      </c>
      <c r="H23" s="189"/>
      <c r="I23" s="14"/>
    </row>
    <row r="24" spans="1:9" s="7" customFormat="1" ht="13.9"/>
    <row r="25" spans="1:9" s="7" customFormat="1" ht="13.9">
      <c r="A25" s="186" t="s">
        <v>129</v>
      </c>
      <c r="B25" s="187" t="str">
        <f>'Vessel Ullage'!J9</f>
        <v>Paranagua Port - Shed 212</v>
      </c>
      <c r="C25" s="189"/>
      <c r="D25" s="189"/>
      <c r="E25" s="189"/>
      <c r="F25" s="186" t="s">
        <v>130</v>
      </c>
      <c r="G25" s="187" t="str">
        <f>'Vessel Ullage'!J8</f>
        <v>VLSFO 0.5% S</v>
      </c>
      <c r="H25" s="189"/>
      <c r="I25" s="14"/>
    </row>
    <row r="26" spans="1:9" s="7" customFormat="1" ht="13.9">
      <c r="B26" s="14"/>
      <c r="C26" s="14"/>
      <c r="D26" s="14"/>
      <c r="E26" s="14"/>
    </row>
    <row r="27" spans="1:9" s="7" customFormat="1" ht="13.9"/>
    <row r="28" spans="1:9" s="7" customFormat="1" ht="13.9">
      <c r="A28" s="7" t="s">
        <v>131</v>
      </c>
    </row>
    <row r="29" spans="1:9" s="7" customFormat="1" ht="13.9">
      <c r="A29" s="7" t="s">
        <v>132</v>
      </c>
    </row>
    <row r="30" spans="1:9" s="7" customFormat="1" ht="13.9"/>
    <row r="31" spans="1:9" s="7" customFormat="1" ht="14.25" thickBot="1"/>
    <row r="32" spans="1:9" s="7" customFormat="1" ht="13.9">
      <c r="A32" s="18"/>
      <c r="B32" s="18"/>
      <c r="C32" s="18"/>
      <c r="D32" s="19"/>
      <c r="E32" s="70"/>
      <c r="F32" s="71" t="s">
        <v>133</v>
      </c>
      <c r="G32" s="20"/>
      <c r="H32" s="18"/>
      <c r="I32" s="18"/>
    </row>
    <row r="33" spans="1:10" s="7" customFormat="1" ht="13.9">
      <c r="A33" s="15"/>
      <c r="B33" s="14"/>
      <c r="C33" s="14"/>
      <c r="D33" s="21" t="s">
        <v>49</v>
      </c>
      <c r="E33" s="22" t="s">
        <v>134</v>
      </c>
      <c r="F33" s="21" t="s">
        <v>50</v>
      </c>
      <c r="G33" s="22" t="s">
        <v>56</v>
      </c>
      <c r="H33" s="14"/>
      <c r="I33" s="14"/>
    </row>
    <row r="34" spans="1:10" s="7" customFormat="1" ht="14.25" thickBot="1">
      <c r="A34" s="15"/>
      <c r="D34" s="180">
        <f>'Vessel Ullage'!M58</f>
        <v>100.542</v>
      </c>
      <c r="E34" s="179">
        <f>'Vessel Ullage'!M59</f>
        <v>100.23166914559988</v>
      </c>
      <c r="F34" s="180">
        <f>'Vessel Ullage'!M60</f>
        <v>-0.31033085440012087</v>
      </c>
      <c r="G34" s="179">
        <f>'Vessel Ullage'!M61</f>
        <v>-0.30961357527561856</v>
      </c>
    </row>
    <row r="35" spans="1:10" s="7" customFormat="1" ht="13.9">
      <c r="A35" s="15"/>
      <c r="D35" s="14"/>
      <c r="E35" s="14"/>
      <c r="F35" s="14"/>
      <c r="G35" s="14"/>
    </row>
    <row r="36" spans="1:10" s="7" customFormat="1" ht="15" customHeight="1">
      <c r="A36" s="7" t="s">
        <v>135</v>
      </c>
    </row>
    <row r="37" spans="1:10" s="7" customFormat="1" ht="15" customHeight="1"/>
    <row r="38" spans="1:10" s="7" customFormat="1" ht="15" customHeight="1"/>
    <row r="39" spans="1:10" s="7" customFormat="1" ht="15" customHeight="1"/>
    <row r="40" spans="1:10" s="7" customFormat="1" ht="15" customHeight="1"/>
    <row r="41" spans="1:10" s="7" customFormat="1" ht="15" customHeight="1"/>
    <row r="42" spans="1:10" s="7" customFormat="1" ht="13.9"/>
    <row r="43" spans="1:10" s="7" customFormat="1" ht="13.9">
      <c r="A43" s="7" t="s">
        <v>136</v>
      </c>
    </row>
    <row r="44" spans="1:10" s="7" customFormat="1" ht="13.9">
      <c r="A44" s="23"/>
      <c r="B44" s="9"/>
      <c r="C44" s="9"/>
      <c r="D44" s="9"/>
      <c r="E44" s="11"/>
      <c r="F44" s="10"/>
      <c r="G44" s="10"/>
      <c r="H44" s="13"/>
      <c r="I44" s="13"/>
      <c r="J44" s="6"/>
    </row>
    <row r="45" spans="1:10">
      <c r="A45" s="5" t="s">
        <v>137</v>
      </c>
      <c r="B45" s="12"/>
      <c r="C45" s="12"/>
      <c r="D45" s="12"/>
      <c r="E45" s="12"/>
      <c r="G45" s="12" t="s">
        <v>58</v>
      </c>
      <c r="I45" s="84" t="str">
        <f>'Vessel Ullage'!L74</f>
        <v>Lara, Ernesto</v>
      </c>
    </row>
    <row r="46" spans="1:10">
      <c r="A46" s="6" t="s">
        <v>138</v>
      </c>
    </row>
  </sheetData>
  <sheetProtection selectLockedCells="1"/>
  <mergeCells count="4">
    <mergeCell ref="C11:D11"/>
    <mergeCell ref="G2:J2"/>
    <mergeCell ref="H3:J3"/>
    <mergeCell ref="G4:J4"/>
  </mergeCells>
  <phoneticPr fontId="0" type="noConversion"/>
  <hyperlinks>
    <hyperlink ref="G4" r:id="rId1" xr:uid="{00000000-0004-0000-0400-000000000000}"/>
  </hyperlinks>
  <pageMargins left="0.31496062992125984" right="0.23622047244094491" top="0.98425196850393704" bottom="0.98425196850393704" header="0.51181102362204722" footer="0.51181102362204722"/>
  <pageSetup paperSize="9" scale="78" orientation="portrait" blackAndWhite="1" horizontalDpi="300" verticalDpi="3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>
      <selection activeCell="C38" sqref="C38"/>
    </sheetView>
  </sheetViews>
  <sheetFormatPr defaultColWidth="9" defaultRowHeight="12.75"/>
  <cols>
    <col min="1" max="2" width="9.1328125" style="4" customWidth="1"/>
    <col min="3" max="16384" width="9" style="2"/>
  </cols>
  <sheetData>
    <row r="1" spans="1:2" ht="25.5">
      <c r="A1" s="1" t="s">
        <v>139</v>
      </c>
      <c r="B1" s="1" t="s">
        <v>140</v>
      </c>
    </row>
    <row r="2" spans="1:2">
      <c r="A2" s="3">
        <v>0.5</v>
      </c>
      <c r="B2" s="4">
        <v>0.99775000000000003</v>
      </c>
    </row>
    <row r="3" spans="1:2">
      <c r="A3" s="3">
        <v>0.51910000000000001</v>
      </c>
      <c r="B3" s="4">
        <v>0.99775000000000003</v>
      </c>
    </row>
    <row r="4" spans="1:2">
      <c r="A4" s="3">
        <v>0.51919999999999999</v>
      </c>
      <c r="B4" s="4">
        <v>0.99785000000000001</v>
      </c>
    </row>
    <row r="5" spans="1:2">
      <c r="A5" s="3">
        <v>0.54210000000000003</v>
      </c>
      <c r="B5" s="4">
        <v>0.99785000000000001</v>
      </c>
    </row>
    <row r="6" spans="1:2">
      <c r="A6" s="3">
        <v>0.54220000000000002</v>
      </c>
      <c r="B6" s="4">
        <v>0.99795</v>
      </c>
    </row>
    <row r="7" spans="1:2">
      <c r="A7" s="3">
        <v>0.56730000000000003</v>
      </c>
      <c r="B7" s="4">
        <v>0.99795</v>
      </c>
    </row>
    <row r="8" spans="1:2">
      <c r="A8" s="3">
        <v>0.56740000000000002</v>
      </c>
      <c r="B8" s="4">
        <v>0.99804999999999999</v>
      </c>
    </row>
    <row r="9" spans="1:2">
      <c r="A9" s="3">
        <v>0.59499999999999997</v>
      </c>
      <c r="B9" s="4">
        <v>0.99804999999999999</v>
      </c>
    </row>
    <row r="10" spans="1:2">
      <c r="A10" s="3">
        <v>0.59509999999999996</v>
      </c>
      <c r="B10" s="4">
        <v>0.99814999999999998</v>
      </c>
    </row>
    <row r="11" spans="1:2">
      <c r="A11" s="3">
        <v>0.62549999999999994</v>
      </c>
      <c r="B11" s="4">
        <v>0.99814999999999998</v>
      </c>
    </row>
    <row r="12" spans="1:2">
      <c r="A12" s="3">
        <v>0.62560000000000004</v>
      </c>
      <c r="B12" s="4">
        <v>0.99824999999999997</v>
      </c>
    </row>
    <row r="13" spans="1:2">
      <c r="A13" s="3">
        <v>0.6593</v>
      </c>
      <c r="B13" s="4">
        <v>0.99824999999999997</v>
      </c>
    </row>
    <row r="14" spans="1:2">
      <c r="A14" s="3">
        <v>0.65939999999999999</v>
      </c>
      <c r="B14" s="4">
        <v>0.99834999999999996</v>
      </c>
    </row>
    <row r="15" spans="1:2">
      <c r="A15" s="3">
        <v>0.69699999999999995</v>
      </c>
      <c r="B15" s="4">
        <v>0.99834999999999996</v>
      </c>
    </row>
    <row r="16" spans="1:2">
      <c r="A16" s="3">
        <v>0.69710000000000005</v>
      </c>
      <c r="B16" s="4">
        <v>0.99844999999999995</v>
      </c>
    </row>
    <row r="17" spans="1:2">
      <c r="A17" s="3">
        <v>0.73919999999999997</v>
      </c>
      <c r="B17" s="4">
        <v>0.99844999999999995</v>
      </c>
    </row>
    <row r="18" spans="1:2">
      <c r="A18" s="3">
        <v>0.73929999999999996</v>
      </c>
      <c r="B18" s="4">
        <v>0.99855000000000005</v>
      </c>
    </row>
    <row r="19" spans="1:2">
      <c r="A19" s="3">
        <v>0.78690000000000004</v>
      </c>
      <c r="B19" s="4">
        <v>0.99855000000000005</v>
      </c>
    </row>
    <row r="20" spans="1:2">
      <c r="A20" s="3">
        <v>0.78700000000000003</v>
      </c>
      <c r="B20" s="4">
        <v>0.99865000000000004</v>
      </c>
    </row>
    <row r="21" spans="1:2">
      <c r="A21" s="3">
        <v>0.84109999999999996</v>
      </c>
      <c r="B21" s="4">
        <v>0.99865000000000004</v>
      </c>
    </row>
    <row r="22" spans="1:2">
      <c r="A22" s="3">
        <v>0.84119999999999995</v>
      </c>
      <c r="B22" s="4">
        <v>0.99875000000000003</v>
      </c>
    </row>
    <row r="23" spans="1:2">
      <c r="A23" s="3">
        <v>0.90339999999999998</v>
      </c>
      <c r="B23" s="4">
        <v>0.99875000000000003</v>
      </c>
    </row>
    <row r="24" spans="1:2">
      <c r="A24" s="3">
        <v>0.90349999999999997</v>
      </c>
      <c r="B24" s="4">
        <v>0.99885000000000002</v>
      </c>
    </row>
    <row r="25" spans="1:2">
      <c r="A25" s="3">
        <v>0.97560000000000002</v>
      </c>
      <c r="B25" s="4">
        <v>0.99885000000000002</v>
      </c>
    </row>
    <row r="26" spans="1:2">
      <c r="A26" s="3">
        <v>0.97570000000000001</v>
      </c>
      <c r="B26" s="4">
        <v>0.99895</v>
      </c>
    </row>
    <row r="27" spans="1:2">
      <c r="A27" s="3">
        <v>1.0604</v>
      </c>
      <c r="B27" s="4">
        <v>0.99895</v>
      </c>
    </row>
    <row r="28" spans="1:2">
      <c r="A28" s="3">
        <v>1.0605</v>
      </c>
      <c r="B28" s="4">
        <v>0.99904999999999999</v>
      </c>
    </row>
    <row r="29" spans="1:2">
      <c r="A29" s="3">
        <v>1.1000000000000001</v>
      </c>
      <c r="B29" s="4">
        <v>0.99904999999999999</v>
      </c>
    </row>
  </sheetData>
  <phoneticPr fontId="7" type="noConversion"/>
  <printOptions horizontalCentered="1"/>
  <pageMargins left="1.25" right="1.25" top="3" bottom="2.5" header="0.51180555555555562" footer="0.51180555555555562"/>
  <pageSetup paperSize="9" scale="97" firstPageNumber="0" fitToHeight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e51f4a-57fe-4690-a6a0-08abb60e44cb">
      <Terms xmlns="http://schemas.microsoft.com/office/infopath/2007/PartnerControls"/>
    </lcf76f155ced4ddcb4097134ff3c332f>
    <TaxCatchAll xmlns="c3c5eb31-f15d-4b84-a3c7-30f17623d4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486E44FC1E1E4C84FA9FA658674617" ma:contentTypeVersion="18" ma:contentTypeDescription="Crie um novo documento." ma:contentTypeScope="" ma:versionID="cc267e9f46e7a3f187cde538ee69b43b">
  <xsd:schema xmlns:xsd="http://www.w3.org/2001/XMLSchema" xmlns:xs="http://www.w3.org/2001/XMLSchema" xmlns:p="http://schemas.microsoft.com/office/2006/metadata/properties" xmlns:ns2="09e51f4a-57fe-4690-a6a0-08abb60e44cb" xmlns:ns3="c3c5eb31-f15d-4b84-a3c7-30f17623d447" targetNamespace="http://schemas.microsoft.com/office/2006/metadata/properties" ma:root="true" ma:fieldsID="c2fba0100f593cf1792177de29c7e4e5" ns2:_="" ns3:_="">
    <xsd:import namespace="09e51f4a-57fe-4690-a6a0-08abb60e44cb"/>
    <xsd:import namespace="c3c5eb31-f15d-4b84-a3c7-30f17623d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51f4a-57fe-4690-a6a0-08abb60e4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eb31-f15d-4b84-a3c7-30f17623d44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de379af-0777-41e0-b8bd-0ae8279417b7}" ma:internalName="TaxCatchAll" ma:showField="CatchAllData" ma:web="c3c5eb31-f15d-4b84-a3c7-30f17623d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5949F2-F100-49A5-9BCD-1DE39F0D0E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961ADA-2F48-4C6B-8AA1-34EC2795DBC4}">
  <ds:schemaRefs>
    <ds:schemaRef ds:uri="http://schemas.microsoft.com/office/2006/metadata/properties"/>
    <ds:schemaRef ds:uri="http://schemas.microsoft.com/office/infopath/2007/PartnerControls"/>
    <ds:schemaRef ds:uri="09e51f4a-57fe-4690-a6a0-08abb60e44cb"/>
    <ds:schemaRef ds:uri="c3c5eb31-f15d-4b84-a3c7-30f17623d447"/>
  </ds:schemaRefs>
</ds:datastoreItem>
</file>

<file path=customXml/itemProps3.xml><?xml version="1.0" encoding="utf-8"?>
<ds:datastoreItem xmlns:ds="http://schemas.openxmlformats.org/officeDocument/2006/customXml" ds:itemID="{BF555216-ED6A-4776-9BB4-4E07C336F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51f4a-57fe-4690-a6a0-08abb60e44cb"/>
    <ds:schemaRef ds:uri="c3c5eb31-f15d-4b84-a3c7-30f17623d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Vessel Ullage</vt:lpstr>
      <vt:lpstr>Sounding Barge</vt:lpstr>
      <vt:lpstr>Time Log</vt:lpstr>
      <vt:lpstr>Sample Report</vt:lpstr>
      <vt:lpstr>Letter of Protest (2)</vt:lpstr>
      <vt:lpstr>VacuoAr</vt:lpstr>
      <vt:lpstr>'Letter of Protest (2)'!Area_de_impressao</vt:lpstr>
      <vt:lpstr>'Sounding Barge'!Area_de_impressao</vt:lpstr>
      <vt:lpstr>'Time Log'!Area_de_impressao</vt:lpstr>
      <vt:lpstr>'Vessel Ullage'!Area_de_impressao</vt:lpstr>
    </vt:vector>
  </TitlesOfParts>
  <Manager/>
  <Company>Intertek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Lloyds</dc:title>
  <dc:subject>Lloyds FOBAS/BQS</dc:subject>
  <dc:creator>José Augusto Pinto/Marcelo Padovani</dc:creator>
  <cp:keywords/>
  <dc:description>versão 2.05 (2x)</dc:description>
  <cp:lastModifiedBy>Wagner Abreu - Naabsa surveyors</cp:lastModifiedBy>
  <cp:revision/>
  <cp:lastPrinted>2025-05-28T16:46:34Z</cp:lastPrinted>
  <dcterms:created xsi:type="dcterms:W3CDTF">2004-08-12T22:33:19Z</dcterms:created>
  <dcterms:modified xsi:type="dcterms:W3CDTF">2026-04-29T14:02:06Z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0x01010060486E44FC1E1E4C84FA9FA658674617</vt:lpwstr>
  </property>
  <property fmtid="{D5CDD505-2E9C-101B-9397-08002B2CF9AE}" pid="3" name="MediaServiceImageTags">
    <vt:lpwstr/>
  </property>
</Properties>
</file>