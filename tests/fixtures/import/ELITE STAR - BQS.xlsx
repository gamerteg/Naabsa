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encianaabsa-my.sharepoint.com/personal/eric_naabsa_com1/Documents/Relatórios - 2026/Pendentes/Santos/111_2026 - ELITE STAR/"/>
    </mc:Choice>
  </mc:AlternateContent>
  <xr:revisionPtr revIDLastSave="834" documentId="8_{954A29B6-A4C3-4629-A149-8EC0E93268D2}" xr6:coauthVersionLast="47" xr6:coauthVersionMax="47" xr10:uidLastSave="{A56E7D48-0862-47BA-98CB-DA44A88410A1}"/>
  <bookViews>
    <workbookView xWindow="43080" yWindow="-120" windowWidth="29040" windowHeight="15720" tabRatio="754" activeTab="1" xr2:uid="{00000000-000D-0000-FFFF-FFFF00000000}"/>
  </bookViews>
  <sheets>
    <sheet name="Vessel Ullage" sheetId="8" r:id="rId1"/>
    <sheet name="Sounding Barge" sheetId="9" r:id="rId2"/>
    <sheet name="Time Log" sheetId="10" r:id="rId3"/>
    <sheet name="Sample Report" sheetId="21" r:id="rId4"/>
    <sheet name="Letter of Protest (2)" sheetId="25" r:id="rId5"/>
    <sheet name="VacuoAr" sheetId="13" state="hidden" r:id="rId6"/>
  </sheets>
  <definedNames>
    <definedName name="_xlnm.Print_Area" localSheetId="4">'Letter of Protest (2)'!$A$1:$J$47</definedName>
    <definedName name="_xlnm.Print_Area" localSheetId="1">'Sounding Barge'!$B$1:$U$67</definedName>
    <definedName name="_xlnm.Print_Area" localSheetId="2">'Time Log'!$A$1:$L$56</definedName>
    <definedName name="_xlnm.Print_Area" localSheetId="0">'Vessel Ullage'!$A$1:$T$74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9" l="1"/>
  <c r="M33" i="8"/>
  <c r="O44" i="9"/>
  <c r="K44" i="9"/>
  <c r="I44" i="9"/>
  <c r="C44" i="9"/>
  <c r="B44" i="9"/>
  <c r="R43" i="9"/>
  <c r="P43" i="9"/>
  <c r="O43" i="9"/>
  <c r="K43" i="9"/>
  <c r="Q43" i="9" s="1"/>
  <c r="I43" i="9"/>
  <c r="C43" i="9"/>
  <c r="B43" i="9"/>
  <c r="P26" i="9"/>
  <c r="O27" i="9"/>
  <c r="I27" i="9"/>
  <c r="O26" i="9"/>
  <c r="I26" i="9"/>
  <c r="S43" i="9" l="1"/>
  <c r="T43" i="9" s="1"/>
  <c r="J43" i="9" s="1"/>
  <c r="L43" i="9" s="1"/>
  <c r="P44" i="9"/>
  <c r="Q44" i="9"/>
  <c r="S44" i="9" s="1"/>
  <c r="T44" i="9" s="1"/>
  <c r="J44" i="9" s="1"/>
  <c r="L44" i="9" s="1"/>
  <c r="R44" i="9"/>
  <c r="Q26" i="9"/>
  <c r="S26" i="9" s="1"/>
  <c r="T26" i="9" s="1"/>
  <c r="R26" i="9"/>
  <c r="P27" i="9"/>
  <c r="Q27" i="9"/>
  <c r="R27" i="9"/>
  <c r="N44" i="9" l="1"/>
  <c r="M44" i="9"/>
  <c r="N43" i="9"/>
  <c r="M43" i="9"/>
  <c r="J26" i="9"/>
  <c r="L26" i="9" s="1"/>
  <c r="S27" i="9"/>
  <c r="T27" i="9" s="1"/>
  <c r="M26" i="9" l="1"/>
  <c r="N26" i="9"/>
  <c r="J27" i="9"/>
  <c r="L27" i="9" s="1"/>
  <c r="N27" i="9" l="1"/>
  <c r="M27" i="9"/>
  <c r="F11" i="25" l="1"/>
  <c r="F10" i="25"/>
  <c r="E14" i="21"/>
  <c r="E13" i="21"/>
  <c r="E12" i="10"/>
  <c r="E11" i="10"/>
  <c r="H12" i="9"/>
  <c r="H11" i="9"/>
  <c r="A42" i="8" l="1"/>
  <c r="G25" i="25"/>
  <c r="D34" i="25"/>
  <c r="Q42" i="8"/>
  <c r="O43" i="8"/>
  <c r="O44" i="8"/>
  <c r="Q45" i="8"/>
  <c r="J47" i="8"/>
  <c r="J48" i="8"/>
  <c r="Q48" i="8" s="1"/>
  <c r="J49" i="8"/>
  <c r="Q49" i="8" s="1"/>
  <c r="J50" i="8"/>
  <c r="P50" i="8" s="1"/>
  <c r="J51" i="8"/>
  <c r="Q51" i="8" s="1"/>
  <c r="J52" i="8"/>
  <c r="Q52" i="8" s="1"/>
  <c r="Q41" i="8"/>
  <c r="O46" i="8"/>
  <c r="A51" i="8"/>
  <c r="A52" i="8"/>
  <c r="H51" i="8"/>
  <c r="N51" i="8"/>
  <c r="N31" i="8"/>
  <c r="O31" i="8"/>
  <c r="P31" i="8"/>
  <c r="Q31" i="8"/>
  <c r="H31" i="8"/>
  <c r="P29" i="9"/>
  <c r="R28" i="9"/>
  <c r="P25" i="9"/>
  <c r="R25" i="9"/>
  <c r="R24" i="9"/>
  <c r="P23" i="9"/>
  <c r="P22" i="9"/>
  <c r="P21" i="9"/>
  <c r="K38" i="9"/>
  <c r="O41" i="9"/>
  <c r="O42" i="9"/>
  <c r="I42" i="9"/>
  <c r="I41" i="9"/>
  <c r="C38" i="9"/>
  <c r="C39" i="9"/>
  <c r="C40" i="9"/>
  <c r="C41" i="9"/>
  <c r="C42" i="9"/>
  <c r="C45" i="9"/>
  <c r="C46" i="9"/>
  <c r="C37" i="9"/>
  <c r="B38" i="9"/>
  <c r="B39" i="9"/>
  <c r="B40" i="9"/>
  <c r="B41" i="9"/>
  <c r="B42" i="9"/>
  <c r="B45" i="9"/>
  <c r="B46" i="9"/>
  <c r="B37" i="9"/>
  <c r="I24" i="9"/>
  <c r="I25" i="9"/>
  <c r="O24" i="9"/>
  <c r="O25" i="9"/>
  <c r="H46" i="8"/>
  <c r="N46" i="8"/>
  <c r="A43" i="8"/>
  <c r="A44" i="8"/>
  <c r="A45" i="8"/>
  <c r="A46" i="8"/>
  <c r="A47" i="8"/>
  <c r="A48" i="8"/>
  <c r="A49" i="8"/>
  <c r="A50" i="8"/>
  <c r="A41" i="8"/>
  <c r="O26" i="8"/>
  <c r="P26" i="8"/>
  <c r="Q26" i="8"/>
  <c r="H26" i="8"/>
  <c r="N26" i="8"/>
  <c r="H9" i="25"/>
  <c r="Y37" i="9"/>
  <c r="Y38" i="9"/>
  <c r="D19" i="21"/>
  <c r="D20" i="21"/>
  <c r="K40" i="9"/>
  <c r="Q40" i="9" s="1"/>
  <c r="O46" i="9"/>
  <c r="I46" i="9"/>
  <c r="O45" i="9"/>
  <c r="I45" i="9"/>
  <c r="O40" i="9"/>
  <c r="I40" i="9"/>
  <c r="O39" i="9"/>
  <c r="I39" i="9"/>
  <c r="O38" i="9"/>
  <c r="I38" i="9"/>
  <c r="O37" i="9"/>
  <c r="I37" i="9"/>
  <c r="C11" i="10"/>
  <c r="C56" i="10"/>
  <c r="E65" i="9"/>
  <c r="I45" i="25"/>
  <c r="I38" i="21"/>
  <c r="I56" i="10"/>
  <c r="Q29" i="9"/>
  <c r="O29" i="9"/>
  <c r="I29" i="9"/>
  <c r="O28" i="9"/>
  <c r="I28" i="9"/>
  <c r="Q23" i="9"/>
  <c r="O23" i="9"/>
  <c r="I23" i="9"/>
  <c r="O22" i="9"/>
  <c r="I22" i="9"/>
  <c r="O21" i="9"/>
  <c r="I21" i="9"/>
  <c r="O20" i="9"/>
  <c r="I20" i="9"/>
  <c r="B25" i="25"/>
  <c r="B23" i="25"/>
  <c r="H11" i="25"/>
  <c r="H10" i="25"/>
  <c r="C10" i="25"/>
  <c r="C8" i="25"/>
  <c r="G12" i="10"/>
  <c r="G11" i="10"/>
  <c r="G10" i="10"/>
  <c r="G9" i="10"/>
  <c r="C9" i="10"/>
  <c r="G14" i="21"/>
  <c r="G13" i="21"/>
  <c r="G12" i="21"/>
  <c r="G11" i="21"/>
  <c r="C13" i="21"/>
  <c r="C11" i="21"/>
  <c r="J12" i="9"/>
  <c r="J11" i="9"/>
  <c r="J10" i="9"/>
  <c r="J9" i="9"/>
  <c r="H8" i="25" s="1"/>
  <c r="D9" i="9"/>
  <c r="D11" i="9"/>
  <c r="C38" i="21"/>
  <c r="H42" i="8"/>
  <c r="H43" i="8"/>
  <c r="H44" i="8"/>
  <c r="H45" i="8"/>
  <c r="H47" i="8"/>
  <c r="H48" i="8"/>
  <c r="H49" i="8"/>
  <c r="H50" i="8"/>
  <c r="H52" i="8"/>
  <c r="N42" i="8"/>
  <c r="N43" i="8"/>
  <c r="N44" i="8"/>
  <c r="N45" i="8"/>
  <c r="N47" i="8"/>
  <c r="N48" i="8"/>
  <c r="N49" i="8"/>
  <c r="N50" i="8"/>
  <c r="N52" i="8"/>
  <c r="N41" i="8"/>
  <c r="H21" i="8"/>
  <c r="H22" i="8"/>
  <c r="H23" i="8"/>
  <c r="H24" i="8"/>
  <c r="H25" i="8"/>
  <c r="H27" i="8"/>
  <c r="H28" i="8"/>
  <c r="H29" i="8"/>
  <c r="H30" i="8"/>
  <c r="H32" i="8"/>
  <c r="N21" i="8"/>
  <c r="O21" i="8"/>
  <c r="P21" i="8"/>
  <c r="Q21" i="8"/>
  <c r="N22" i="8"/>
  <c r="O22" i="8"/>
  <c r="P22" i="8"/>
  <c r="R22" i="8" s="1"/>
  <c r="Q22" i="8"/>
  <c r="N23" i="8"/>
  <c r="O23" i="8"/>
  <c r="P23" i="8"/>
  <c r="Q23" i="8"/>
  <c r="N24" i="8"/>
  <c r="O24" i="8"/>
  <c r="P24" i="8"/>
  <c r="Q24" i="8"/>
  <c r="N25" i="8"/>
  <c r="O25" i="8"/>
  <c r="P25" i="8"/>
  <c r="Q25" i="8"/>
  <c r="N27" i="8"/>
  <c r="O27" i="8"/>
  <c r="P27" i="8"/>
  <c r="Q27" i="8"/>
  <c r="R27" i="8" s="1"/>
  <c r="N28" i="8"/>
  <c r="O28" i="8"/>
  <c r="P28" i="8"/>
  <c r="Q28" i="8"/>
  <c r="R28" i="8" s="1"/>
  <c r="N29" i="8"/>
  <c r="O29" i="8"/>
  <c r="P29" i="8"/>
  <c r="Q29" i="8"/>
  <c r="N30" i="8"/>
  <c r="O30" i="8"/>
  <c r="P30" i="8"/>
  <c r="Q30" i="8"/>
  <c r="N32" i="8"/>
  <c r="O32" i="8"/>
  <c r="P32" i="8"/>
  <c r="Q32" i="8"/>
  <c r="H41" i="8"/>
  <c r="J65" i="9"/>
  <c r="R21" i="9"/>
  <c r="O50" i="8"/>
  <c r="P51" i="8"/>
  <c r="R22" i="9"/>
  <c r="R23" i="9"/>
  <c r="R29" i="9"/>
  <c r="P46" i="9"/>
  <c r="P24" i="9"/>
  <c r="Q21" i="9"/>
  <c r="Q25" i="9"/>
  <c r="K42" i="9"/>
  <c r="Q46" i="8"/>
  <c r="P46" i="8"/>
  <c r="O45" i="8"/>
  <c r="P42" i="8"/>
  <c r="O41" i="8"/>
  <c r="P45" i="8"/>
  <c r="P49" i="8"/>
  <c r="Q43" i="8"/>
  <c r="P20" i="9"/>
  <c r="K30" i="9"/>
  <c r="K41" i="9"/>
  <c r="Q41" i="9" s="1"/>
  <c r="P41" i="9"/>
  <c r="I47" i="9" l="1"/>
  <c r="R40" i="9"/>
  <c r="S29" i="9"/>
  <c r="T29" i="9" s="1"/>
  <c r="J29" i="9" s="1"/>
  <c r="L29" i="9" s="1"/>
  <c r="P28" i="9"/>
  <c r="K39" i="9"/>
  <c r="P39" i="9" s="1"/>
  <c r="Q28" i="9"/>
  <c r="R46" i="9"/>
  <c r="S21" i="9"/>
  <c r="T21" i="9" s="1"/>
  <c r="Q46" i="9"/>
  <c r="P40" i="9"/>
  <c r="S40" i="9" s="1"/>
  <c r="T40" i="9" s="1"/>
  <c r="J40" i="9" s="1"/>
  <c r="L40" i="9" s="1"/>
  <c r="O42" i="8"/>
  <c r="R42" i="8" s="1"/>
  <c r="S42" i="8" s="1"/>
  <c r="I42" i="8" s="1"/>
  <c r="K42" i="8" s="1"/>
  <c r="L42" i="8" s="1"/>
  <c r="S22" i="8"/>
  <c r="I22" i="8" s="1"/>
  <c r="K22" i="8" s="1"/>
  <c r="R31" i="8"/>
  <c r="O48" i="8"/>
  <c r="O51" i="8"/>
  <c r="H53" i="8"/>
  <c r="P48" i="8"/>
  <c r="R48" i="8" s="1"/>
  <c r="S48" i="8" s="1"/>
  <c r="I48" i="8" s="1"/>
  <c r="K48" i="8" s="1"/>
  <c r="S28" i="8"/>
  <c r="I28" i="8" s="1"/>
  <c r="K28" i="8" s="1"/>
  <c r="M28" i="8" s="1"/>
  <c r="R26" i="8"/>
  <c r="S26" i="8" s="1"/>
  <c r="I26" i="8" s="1"/>
  <c r="K26" i="8" s="1"/>
  <c r="L26" i="8" s="1"/>
  <c r="R45" i="8"/>
  <c r="S45" i="8" s="1"/>
  <c r="I45" i="8" s="1"/>
  <c r="K45" i="8" s="1"/>
  <c r="R25" i="8"/>
  <c r="S25" i="8" s="1"/>
  <c r="I25" i="8" s="1"/>
  <c r="K25" i="8" s="1"/>
  <c r="R24" i="8"/>
  <c r="S24" i="8" s="1"/>
  <c r="I24" i="8" s="1"/>
  <c r="K24" i="8" s="1"/>
  <c r="M24" i="8" s="1"/>
  <c r="R23" i="8"/>
  <c r="S23" i="8" s="1"/>
  <c r="I23" i="8" s="1"/>
  <c r="K23" i="8" s="1"/>
  <c r="L23" i="8" s="1"/>
  <c r="R51" i="8"/>
  <c r="S51" i="8" s="1"/>
  <c r="I51" i="8" s="1"/>
  <c r="K51" i="8" s="1"/>
  <c r="M51" i="8" s="1"/>
  <c r="R30" i="8"/>
  <c r="S30" i="8" s="1"/>
  <c r="I30" i="8" s="1"/>
  <c r="K30" i="8" s="1"/>
  <c r="S31" i="8"/>
  <c r="I31" i="8" s="1"/>
  <c r="K31" i="8" s="1"/>
  <c r="S27" i="8"/>
  <c r="I27" i="8" s="1"/>
  <c r="K27" i="8" s="1"/>
  <c r="N33" i="8"/>
  <c r="Q38" i="9"/>
  <c r="P38" i="9"/>
  <c r="R38" i="9"/>
  <c r="I30" i="9"/>
  <c r="S23" i="9"/>
  <c r="T23" i="9" s="1"/>
  <c r="R46" i="8"/>
  <c r="S46" i="8" s="1"/>
  <c r="I46" i="8" s="1"/>
  <c r="K46" i="8" s="1"/>
  <c r="L46" i="8" s="1"/>
  <c r="N53" i="8"/>
  <c r="R32" i="8"/>
  <c r="S32" i="8" s="1"/>
  <c r="I32" i="8" s="1"/>
  <c r="K32" i="8" s="1"/>
  <c r="R29" i="8"/>
  <c r="S29" i="8" s="1"/>
  <c r="I29" i="8" s="1"/>
  <c r="K29" i="8" s="1"/>
  <c r="R21" i="8"/>
  <c r="S21" i="8" s="1"/>
  <c r="I21" i="8" s="1"/>
  <c r="K21" i="8" s="1"/>
  <c r="P47" i="8"/>
  <c r="Q47" i="8"/>
  <c r="Q44" i="8"/>
  <c r="H33" i="8"/>
  <c r="P42" i="9"/>
  <c r="R42" i="9"/>
  <c r="Q50" i="8"/>
  <c r="R50" i="8" s="1"/>
  <c r="S50" i="8" s="1"/>
  <c r="I50" i="8" s="1"/>
  <c r="K50" i="8" s="1"/>
  <c r="P44" i="8"/>
  <c r="Q20" i="9"/>
  <c r="K37" i="9"/>
  <c r="P41" i="8"/>
  <c r="R41" i="8" s="1"/>
  <c r="S41" i="8" s="1"/>
  <c r="I41" i="8" s="1"/>
  <c r="K41" i="8" s="1"/>
  <c r="M41" i="8" s="1"/>
  <c r="R41" i="9"/>
  <c r="S41" i="9" s="1"/>
  <c r="T41" i="9" s="1"/>
  <c r="J41" i="9" s="1"/>
  <c r="L41" i="9" s="1"/>
  <c r="N41" i="9" s="1"/>
  <c r="R20" i="9"/>
  <c r="Q42" i="9"/>
  <c r="S25" i="9"/>
  <c r="T25" i="9" s="1"/>
  <c r="P43" i="8"/>
  <c r="R43" i="8" s="1"/>
  <c r="S43" i="8" s="1"/>
  <c r="I43" i="8" s="1"/>
  <c r="K43" i="8" s="1"/>
  <c r="Q22" i="9"/>
  <c r="S22" i="9"/>
  <c r="T22" i="9" s="1"/>
  <c r="Q24" i="9"/>
  <c r="S24" i="9" s="1"/>
  <c r="T24" i="9" s="1"/>
  <c r="K45" i="9"/>
  <c r="O47" i="8"/>
  <c r="P52" i="8"/>
  <c r="O52" i="8"/>
  <c r="O49" i="8"/>
  <c r="R49" i="8" s="1"/>
  <c r="S49" i="8" s="1"/>
  <c r="I49" i="8" s="1"/>
  <c r="K49" i="8" s="1"/>
  <c r="M49" i="8" s="1"/>
  <c r="W37" i="9" l="1"/>
  <c r="W38" i="9" s="1"/>
  <c r="W39" i="9" s="1"/>
  <c r="S42" i="9"/>
  <c r="T42" i="9" s="1"/>
  <c r="J42" i="9" s="1"/>
  <c r="L42" i="9" s="1"/>
  <c r="M42" i="9" s="1"/>
  <c r="S28" i="9"/>
  <c r="T28" i="9" s="1"/>
  <c r="J28" i="9" s="1"/>
  <c r="L28" i="9" s="1"/>
  <c r="J25" i="9"/>
  <c r="L25" i="9" s="1"/>
  <c r="J21" i="9"/>
  <c r="J24" i="9"/>
  <c r="L24" i="9" s="1"/>
  <c r="J22" i="9"/>
  <c r="L22" i="9" s="1"/>
  <c r="J23" i="9"/>
  <c r="L23" i="9" s="1"/>
  <c r="N40" i="9"/>
  <c r="M40" i="9"/>
  <c r="S38" i="9"/>
  <c r="T38" i="9" s="1"/>
  <c r="J38" i="9" s="1"/>
  <c r="L38" i="9" s="1"/>
  <c r="N38" i="9" s="1"/>
  <c r="Q39" i="9"/>
  <c r="R39" i="9"/>
  <c r="S46" i="9"/>
  <c r="T46" i="9" s="1"/>
  <c r="J46" i="9" s="1"/>
  <c r="L46" i="9" s="1"/>
  <c r="S20" i="9"/>
  <c r="T20" i="9" s="1"/>
  <c r="J20" i="9" s="1"/>
  <c r="L20" i="9" s="1"/>
  <c r="R44" i="8"/>
  <c r="S44" i="8" s="1"/>
  <c r="I44" i="8" s="1"/>
  <c r="K44" i="8" s="1"/>
  <c r="L44" i="8" s="1"/>
  <c r="L28" i="8"/>
  <c r="M26" i="8"/>
  <c r="L24" i="8"/>
  <c r="L48" i="8"/>
  <c r="M48" i="8"/>
  <c r="R47" i="8"/>
  <c r="S47" i="8" s="1"/>
  <c r="I47" i="8" s="1"/>
  <c r="K47" i="8" s="1"/>
  <c r="M47" i="8" s="1"/>
  <c r="M45" i="8"/>
  <c r="L45" i="8"/>
  <c r="L51" i="8"/>
  <c r="L49" i="8"/>
  <c r="M23" i="8"/>
  <c r="L50" i="8"/>
  <c r="M50" i="8"/>
  <c r="L32" i="8"/>
  <c r="M32" i="8"/>
  <c r="L43" i="8"/>
  <c r="M43" i="8"/>
  <c r="R52" i="8"/>
  <c r="S52" i="8" s="1"/>
  <c r="I52" i="8" s="1"/>
  <c r="K52" i="8" s="1"/>
  <c r="N29" i="9"/>
  <c r="M29" i="9"/>
  <c r="L41" i="8"/>
  <c r="M31" i="8"/>
  <c r="L31" i="8"/>
  <c r="M21" i="8"/>
  <c r="K33" i="8"/>
  <c r="L21" i="8"/>
  <c r="M27" i="8"/>
  <c r="L27" i="8"/>
  <c r="M42" i="8"/>
  <c r="Q45" i="9"/>
  <c r="P45" i="9"/>
  <c r="R45" i="9"/>
  <c r="L30" i="8"/>
  <c r="M30" i="8"/>
  <c r="M41" i="9"/>
  <c r="L25" i="8"/>
  <c r="M25" i="8"/>
  <c r="Q37" i="9"/>
  <c r="P37" i="9"/>
  <c r="K47" i="9"/>
  <c r="R37" i="9"/>
  <c r="M29" i="8"/>
  <c r="L29" i="8"/>
  <c r="M22" i="8"/>
  <c r="L22" i="8"/>
  <c r="M46" i="8"/>
  <c r="N42" i="9" l="1"/>
  <c r="M38" i="9"/>
  <c r="J30" i="9"/>
  <c r="M23" i="9"/>
  <c r="N23" i="9"/>
  <c r="N22" i="9"/>
  <c r="M22" i="9"/>
  <c r="M24" i="9"/>
  <c r="N24" i="9"/>
  <c r="M28" i="9"/>
  <c r="N28" i="9"/>
  <c r="N25" i="9"/>
  <c r="M25" i="9"/>
  <c r="L21" i="9"/>
  <c r="X36" i="9" s="1"/>
  <c r="S39" i="9"/>
  <c r="T39" i="9" s="1"/>
  <c r="J39" i="9" s="1"/>
  <c r="L39" i="9" s="1"/>
  <c r="N39" i="9" s="1"/>
  <c r="S37" i="9"/>
  <c r="T37" i="9" s="1"/>
  <c r="J37" i="9" s="1"/>
  <c r="L37" i="9" s="1"/>
  <c r="S45" i="9"/>
  <c r="T45" i="9" s="1"/>
  <c r="J45" i="9" s="1"/>
  <c r="L45" i="9" s="1"/>
  <c r="M45" i="9" s="1"/>
  <c r="N46" i="9"/>
  <c r="M46" i="9"/>
  <c r="M44" i="8"/>
  <c r="L47" i="8"/>
  <c r="K53" i="8"/>
  <c r="L33" i="8"/>
  <c r="L30" i="9"/>
  <c r="M20" i="9"/>
  <c r="N20" i="9"/>
  <c r="M35" i="8"/>
  <c r="M52" i="8"/>
  <c r="M53" i="8" s="1"/>
  <c r="L52" i="8"/>
  <c r="M39" i="9" l="1"/>
  <c r="M21" i="9"/>
  <c r="M30" i="9" s="1"/>
  <c r="N21" i="9"/>
  <c r="N30" i="9"/>
  <c r="N45" i="9"/>
  <c r="J47" i="9"/>
  <c r="L53" i="8"/>
  <c r="L59" i="8"/>
  <c r="L60" i="8" s="1"/>
  <c r="L61" i="8" s="1"/>
  <c r="X37" i="9"/>
  <c r="X38" i="9" s="1"/>
  <c r="L47" i="9"/>
  <c r="M37" i="9"/>
  <c r="N37" i="9"/>
  <c r="M47" i="9" l="1"/>
  <c r="N47" i="9"/>
  <c r="M49" i="9" s="1"/>
  <c r="E34" i="25"/>
  <c r="F34" i="25"/>
  <c r="G34" i="25"/>
</calcChain>
</file>

<file path=xl/sharedStrings.xml><?xml version="1.0" encoding="utf-8"?>
<sst xmlns="http://schemas.openxmlformats.org/spreadsheetml/2006/main" count="374" uniqueCount="181">
  <si>
    <t>MARINE SURVEYORS &amp; CONSULTANTS</t>
  </si>
  <si>
    <t>Av. Ana Costa, 433 suite 184 - Santos /BR</t>
  </si>
  <si>
    <t>surveyors@naabsa.com | Naabsa.com | TEL: 55 13 3394-0655</t>
  </si>
  <si>
    <t>VESSEL´S SOUNDING/ULLAGE REPORT</t>
  </si>
  <si>
    <t xml:space="preserve">Name of Vessel:           </t>
  </si>
  <si>
    <t>Grade of Fuel Ordered:</t>
  </si>
  <si>
    <t>VLSFO</t>
  </si>
  <si>
    <t>Location of Survey:</t>
  </si>
  <si>
    <t xml:space="preserve">Name of Barges : </t>
  </si>
  <si>
    <t>Survey Start:</t>
  </si>
  <si>
    <t>Survey Completed:</t>
  </si>
  <si>
    <t>BEFORE BUNKERING</t>
  </si>
  <si>
    <t>Draft Fore:</t>
  </si>
  <si>
    <t>m</t>
  </si>
  <si>
    <t>Draft Aft:</t>
  </si>
  <si>
    <t>List:</t>
  </si>
  <si>
    <t>Trim Correction Applied:</t>
  </si>
  <si>
    <t>Yes</t>
  </si>
  <si>
    <t>METRIC TONS</t>
  </si>
  <si>
    <t>Tank nº</t>
  </si>
  <si>
    <t>Grade</t>
  </si>
  <si>
    <t>Sounding/ Ullage (m)</t>
  </si>
  <si>
    <t>Deg            °C</t>
  </si>
  <si>
    <r>
      <t>Total Vol Observed 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</si>
  <si>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t>Free Water</t>
  </si>
  <si>
    <t>Gross Obs Vol (m3)</t>
  </si>
  <si>
    <t>VCF TAB 54B</t>
  </si>
  <si>
    <r>
      <t>Density (S.G.) at 15</t>
    </r>
    <r>
      <rPr>
        <b/>
        <sz val="8"/>
        <rFont val="Calibri"/>
        <family val="2"/>
      </rPr>
      <t>° C</t>
    </r>
  </si>
  <si>
    <r>
      <t>Gross Std Vol @15</t>
    </r>
    <r>
      <rPr>
        <b/>
        <sz val="9"/>
        <rFont val="Calibri"/>
        <family val="2"/>
      </rPr>
      <t>° C</t>
    </r>
  </si>
  <si>
    <t>IN VAC</t>
  </si>
  <si>
    <t>IN AIR</t>
  </si>
  <si>
    <t>Dip</t>
  </si>
  <si>
    <t>Vol</t>
  </si>
  <si>
    <t>Nil</t>
  </si>
  <si>
    <t>TOTAL</t>
  </si>
  <si>
    <t>LOG BOOK</t>
  </si>
  <si>
    <t>Dif</t>
  </si>
  <si>
    <t>AFTER BUNKERING</t>
  </si>
  <si>
    <t>Deg                  C</t>
  </si>
  <si>
    <r>
      <t>Total Vol Observed (m</t>
    </r>
    <r>
      <rPr>
        <b/>
        <vertAlign val="superscript"/>
        <sz val="10"/>
        <rFont val="Calibri"/>
        <family val="2"/>
      </rPr>
      <t>3</t>
    </r>
    <r>
      <rPr>
        <b/>
        <sz val="10"/>
        <rFont val="Calibri"/>
        <family val="2"/>
      </rPr>
      <t>)</t>
    </r>
  </si>
  <si>
    <r>
      <t>Gross Std Vol @15</t>
    </r>
    <r>
      <rPr>
        <b/>
        <sz val="10"/>
        <rFont val="Calibri"/>
        <family val="2"/>
      </rPr>
      <t>° C</t>
    </r>
  </si>
  <si>
    <t>Total</t>
  </si>
  <si>
    <t>REMARKS:</t>
  </si>
  <si>
    <t>Thermometer                 :</t>
  </si>
  <si>
    <t>TOTAL QUANTITY TRANSFERRED</t>
  </si>
  <si>
    <t>Condition of line          :</t>
  </si>
  <si>
    <t>Empty before and after bunkering</t>
  </si>
  <si>
    <t>BDN</t>
  </si>
  <si>
    <t>MT</t>
  </si>
  <si>
    <t>Remarks                         :</t>
  </si>
  <si>
    <t>SURVEYOR</t>
  </si>
  <si>
    <t>Water Detection:</t>
  </si>
  <si>
    <t>N/A</t>
  </si>
  <si>
    <t xml:space="preserve">DIF </t>
  </si>
  <si>
    <t>%</t>
  </si>
  <si>
    <t>CHIEF ENGINEER:</t>
  </si>
  <si>
    <t>SURVEYOR:</t>
  </si>
  <si>
    <t>BARGE´S SOUNDING/ULLAGE REPORT</t>
  </si>
  <si>
    <t>BEFORE TRANSFER</t>
  </si>
  <si>
    <t>FLOWMETER</t>
  </si>
  <si>
    <r>
      <t>m</t>
    </r>
    <r>
      <rPr>
        <vertAlign val="superscript"/>
        <sz val="10"/>
        <rFont val="Calibri"/>
        <family val="2"/>
      </rPr>
      <t>3</t>
    </r>
  </si>
  <si>
    <t>YES</t>
  </si>
  <si>
    <t>Sounding / Ullage (m)</t>
  </si>
  <si>
    <r>
      <t>Total Vol Observed (m</t>
    </r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>)</t>
    </r>
  </si>
  <si>
    <r>
      <t>Density (S.G.) at 15</t>
    </r>
    <r>
      <rPr>
        <sz val="10"/>
        <rFont val="Calibri"/>
        <family val="2"/>
      </rPr>
      <t>° C</t>
    </r>
  </si>
  <si>
    <r>
      <t>Gross Std Vol @15</t>
    </r>
    <r>
      <rPr>
        <sz val="10"/>
        <rFont val="Calibri"/>
        <family val="2"/>
      </rPr>
      <t>° C</t>
    </r>
  </si>
  <si>
    <t>1 BB</t>
  </si>
  <si>
    <t>1 BE</t>
  </si>
  <si>
    <t>2 BB</t>
  </si>
  <si>
    <t>2 BE</t>
  </si>
  <si>
    <t>3 BB</t>
  </si>
  <si>
    <t>3 BE</t>
  </si>
  <si>
    <t>4 BB</t>
  </si>
  <si>
    <t>4 BE</t>
  </si>
  <si>
    <t>AFTER RECEIVING</t>
  </si>
  <si>
    <t>Density @ 15 Deg C as per BDN - Bunker Deliver Notice</t>
  </si>
  <si>
    <t>Density @ 20 Deg C as per BDN - Bunker Deliver Notice</t>
  </si>
  <si>
    <t>TOTAL QTY TRANSFERRED - ULLAGE/SOUNDING</t>
  </si>
  <si>
    <t>TOTAL QTY TRANSFERRED - FLOWMETER</t>
  </si>
  <si>
    <t xml:space="preserve">MT </t>
  </si>
  <si>
    <t>Flowmeter type:</t>
  </si>
  <si>
    <t>DIGITAL</t>
  </si>
  <si>
    <t>Calibration Date:</t>
  </si>
  <si>
    <t>Seal:</t>
  </si>
  <si>
    <t>Thermometer Type:</t>
  </si>
  <si>
    <t>GLASS / MERCURY</t>
  </si>
  <si>
    <t>TIME LOG</t>
  </si>
  <si>
    <t>Operation</t>
  </si>
  <si>
    <t>Date</t>
  </si>
  <si>
    <t>Times</t>
  </si>
  <si>
    <t>POB for berthing</t>
  </si>
  <si>
    <t>Gangway down</t>
  </si>
  <si>
    <t>Awaiting barge</t>
  </si>
  <si>
    <t>Bunker Barge arrived</t>
  </si>
  <si>
    <t>Surveyor onboard</t>
  </si>
  <si>
    <t xml:space="preserve">Meeting between C/E and surveyor </t>
  </si>
  <si>
    <t>Initial Soundings/Ullage - Vessel</t>
  </si>
  <si>
    <t>All fast / Barge ready</t>
  </si>
  <si>
    <t>Initial Soundings/Ullage - Barge</t>
  </si>
  <si>
    <t>Hose Connected</t>
  </si>
  <si>
    <t>Bunkering operation</t>
  </si>
  <si>
    <t>Final Soundings/Ullage - Barge</t>
  </si>
  <si>
    <t>Final Soundings/Ullage - Vessel</t>
  </si>
  <si>
    <t>Calculation</t>
  </si>
  <si>
    <t>Documents signed</t>
  </si>
  <si>
    <t>Hose disconnected</t>
  </si>
  <si>
    <t>Surveyor off board</t>
  </si>
  <si>
    <t>Stoppages/Delays</t>
  </si>
  <si>
    <t>NO DELAYS</t>
  </si>
  <si>
    <t>Remark:</t>
  </si>
  <si>
    <t>SAMPLE REPORT</t>
  </si>
  <si>
    <t>SAMPLES  WERE TAKEN DURING BUNKERING</t>
  </si>
  <si>
    <t>Name of barge</t>
  </si>
  <si>
    <t>Tank number</t>
  </si>
  <si>
    <t>Sampling Method</t>
  </si>
  <si>
    <t>DRIPPING</t>
  </si>
  <si>
    <t>Sampling Point</t>
  </si>
  <si>
    <t>SHIP MANIFOLD</t>
  </si>
  <si>
    <t>BARGE MANIFOLD</t>
  </si>
  <si>
    <t>Quantity of Sample</t>
  </si>
  <si>
    <t>4 x 0,5 L</t>
  </si>
  <si>
    <t>SAMPLES</t>
  </si>
  <si>
    <t>VESSEL</t>
  </si>
  <si>
    <t>BARGE</t>
  </si>
  <si>
    <t>Retained by Chife Engineer</t>
  </si>
  <si>
    <t>Retained by Supplier`s Representative</t>
  </si>
  <si>
    <t>Laboratory</t>
  </si>
  <si>
    <t>Marpol Sample</t>
  </si>
  <si>
    <t>Surveyor Samples</t>
  </si>
  <si>
    <t>Remarks(IF ANY)</t>
  </si>
  <si>
    <t xml:space="preserve"> </t>
  </si>
  <si>
    <t>To: Supplier or representative</t>
  </si>
  <si>
    <t>C/c: CHIEF ENGINEER</t>
  </si>
  <si>
    <t>LETTER OF PROTEST</t>
  </si>
  <si>
    <t>Vessel    :</t>
  </si>
  <si>
    <t>Date      :</t>
  </si>
  <si>
    <t>Location :</t>
  </si>
  <si>
    <t>Product  :</t>
  </si>
  <si>
    <t>We have been appointed as Marine Surveyors to act on behalf of our Principals and the following</t>
  </si>
  <si>
    <t>figures is brought to your attention to the differences bellow:</t>
  </si>
  <si>
    <t>difference</t>
  </si>
  <si>
    <t>NAABSA</t>
  </si>
  <si>
    <t>We hereby reserve the right of our Principals to make reference to the above at a later date.</t>
  </si>
  <si>
    <t>Signed for receipt:</t>
  </si>
  <si>
    <t>VESSEL/BARGE REPRESENTATIVE :</t>
  </si>
  <si>
    <t>STAMPED AND SIGNED</t>
  </si>
  <si>
    <t>Density at 15C</t>
  </si>
  <si>
    <t>FCW Vacuo-Ar</t>
  </si>
  <si>
    <t>5 x 0,5 L</t>
  </si>
  <si>
    <t>Elite Star</t>
  </si>
  <si>
    <t>SC 60</t>
  </si>
  <si>
    <t>Santos Port - Tiplam Terminal</t>
  </si>
  <si>
    <t>February 19th, 2026 - 08:00 lt</t>
  </si>
  <si>
    <t>FO 1C</t>
  </si>
  <si>
    <t>FO 2C</t>
  </si>
  <si>
    <t>AFT-S</t>
  </si>
  <si>
    <t>FO SETT</t>
  </si>
  <si>
    <t>FO SERV</t>
  </si>
  <si>
    <t>OVERFLOW</t>
  </si>
  <si>
    <t>U 19,27</t>
  </si>
  <si>
    <t>U 02,69</t>
  </si>
  <si>
    <t>S 00,06</t>
  </si>
  <si>
    <t>GAUGE</t>
  </si>
  <si>
    <t>S 00,16</t>
  </si>
  <si>
    <t>Storage, Serv and Sett tanks - Display on Engine Control Room</t>
  </si>
  <si>
    <t>ARTHUR ARANTES FELICIO</t>
  </si>
  <si>
    <t>YEPING WU</t>
  </si>
  <si>
    <t>U 18,60</t>
  </si>
  <si>
    <t>5237253</t>
  </si>
  <si>
    <t>5242213</t>
  </si>
  <si>
    <t>5239733</t>
  </si>
  <si>
    <t>8378121</t>
  </si>
  <si>
    <t>0024483</t>
  </si>
  <si>
    <t>0024482</t>
  </si>
  <si>
    <t>0024484</t>
  </si>
  <si>
    <t>N/I</t>
  </si>
  <si>
    <t>19;10</t>
  </si>
  <si>
    <t>February 19th, 2026 - 21:00h lt</t>
  </si>
  <si>
    <t>5 BB</t>
  </si>
  <si>
    <t>5 BE</t>
  </si>
  <si>
    <t>1BB, 1BE, 5BB and 5BE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</si>
</sst>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0"/>
    <numFmt numFmtId="166" formatCode="#,##0.0000"/>
    <numFmt numFmtId="167" formatCode="0.0"/>
    <numFmt numFmtId="168" formatCode="0.0000"/>
    <numFmt numFmtId="169" formatCode="0.000"/>
    <numFmt numFmtId="170" formatCode="_(* #,##0.000_);_(* \(#,##0.000\);_(* &quot;-&quot;??_);_(@_)"/>
    <numFmt numFmtId="171" formatCode="_(* #,##0.0000_);_(* \(#,##0.0000\);_(* \-??_);_(@_)"/>
    <numFmt numFmtId="172" formatCode="dd/mm/yy;@"/>
    <numFmt numFmtId="173" formatCode="0.000_ ;[Red]\-0.000\ "/>
    <numFmt numFmtId="174" formatCode="h:mm;@"/>
    <numFmt numFmtId="175" formatCode="#,##0.000_ ;[Red]\-#,##0.000\ "/>
  </numFmts>
  <fonts count="3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vertAlign val="superscript"/>
      <sz val="10"/>
      <name val="Calibri"/>
      <family val="2"/>
    </font>
    <font>
      <b/>
      <u/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2060"/>
      <name val="GeoSlab703 Md BT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name val="Calibri"/>
      <family val="2"/>
      <scheme val="minor"/>
    </font>
    <font>
      <b/>
      <vertAlign val="superscript"/>
      <sz val="8"/>
      <name val="Calibri"/>
      <family val="2"/>
    </font>
    <font>
      <b/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5" fillId="0" borderId="0"/>
    <xf numFmtId="40" fontId="8" fillId="0" borderId="0" applyFill="0" applyBorder="0" applyAlignment="0" applyProtection="0"/>
    <xf numFmtId="164" fontId="1" fillId="0" borderId="0" applyFont="0" applyFill="0" applyBorder="0" applyAlignment="0" applyProtection="0"/>
  </cellStyleXfs>
  <cellXfs count="4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2" fillId="0" borderId="2" xfId="0" applyFont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169" fontId="5" fillId="0" borderId="0" xfId="0" applyNumberFormat="1" applyFont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left"/>
      <protection hidden="1"/>
    </xf>
    <xf numFmtId="169" fontId="5" fillId="0" borderId="4" xfId="0" applyNumberFormat="1" applyFont="1" applyBorder="1" applyAlignment="1" applyProtection="1">
      <alignment horizontal="centerContinuous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17" fillId="0" borderId="0" xfId="1" applyFont="1" applyAlignment="1">
      <alignment vertical="center"/>
    </xf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8" fillId="0" borderId="3" xfId="0" applyFont="1" applyBorder="1" applyProtection="1">
      <protection hidden="1"/>
    </xf>
    <xf numFmtId="0" fontId="18" fillId="0" borderId="7" xfId="0" applyFont="1" applyBorder="1" applyProtection="1">
      <protection hidden="1"/>
    </xf>
    <xf numFmtId="0" fontId="20" fillId="0" borderId="0" xfId="0" applyFont="1" applyProtection="1">
      <protection hidden="1"/>
    </xf>
    <xf numFmtId="0" fontId="21" fillId="0" borderId="0" xfId="5" applyFont="1"/>
    <xf numFmtId="0" fontId="22" fillId="0" borderId="0" xfId="5" applyFont="1"/>
    <xf numFmtId="0" fontId="22" fillId="0" borderId="0" xfId="1" applyFont="1" applyAlignment="1">
      <alignment vertical="center"/>
    </xf>
    <xf numFmtId="0" fontId="19" fillId="0" borderId="0" xfId="0" applyFont="1" applyAlignment="1" applyProtection="1">
      <alignment horizontal="left"/>
      <protection hidden="1"/>
    </xf>
    <xf numFmtId="2" fontId="19" fillId="0" borderId="0" xfId="0" applyNumberFormat="1" applyFont="1" applyProtection="1">
      <protection hidden="1"/>
    </xf>
    <xf numFmtId="0" fontId="23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Protection="1">
      <protection hidden="1"/>
    </xf>
    <xf numFmtId="0" fontId="19" fillId="0" borderId="2" xfId="0" applyFont="1" applyBorder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167" fontId="19" fillId="0" borderId="0" xfId="0" applyNumberFormat="1" applyFont="1" applyProtection="1">
      <protection hidden="1"/>
    </xf>
    <xf numFmtId="168" fontId="19" fillId="0" borderId="0" xfId="0" applyNumberFormat="1" applyFont="1" applyProtection="1">
      <protection hidden="1"/>
    </xf>
    <xf numFmtId="2" fontId="25" fillId="0" borderId="0" xfId="0" applyNumberFormat="1" applyFont="1" applyProtection="1">
      <protection hidden="1"/>
    </xf>
    <xf numFmtId="169" fontId="19" fillId="0" borderId="0" xfId="0" applyNumberFormat="1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left"/>
      <protection hidden="1"/>
    </xf>
    <xf numFmtId="0" fontId="26" fillId="0" borderId="0" xfId="0" applyFont="1" applyProtection="1">
      <protection hidden="1"/>
    </xf>
    <xf numFmtId="0" fontId="27" fillId="0" borderId="0" xfId="0" applyFont="1" applyProtection="1">
      <protection hidden="1"/>
    </xf>
    <xf numFmtId="166" fontId="19" fillId="0" borderId="0" xfId="0" applyNumberFormat="1" applyFont="1" applyProtection="1">
      <protection hidden="1"/>
    </xf>
    <xf numFmtId="49" fontId="19" fillId="0" borderId="0" xfId="0" applyNumberFormat="1" applyFont="1" applyProtection="1">
      <protection hidden="1"/>
    </xf>
    <xf numFmtId="164" fontId="19" fillId="0" borderId="0" xfId="7" applyFont="1" applyProtection="1">
      <protection hidden="1"/>
    </xf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24" fillId="0" borderId="0" xfId="0" applyFont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19" fillId="4" borderId="0" xfId="0" applyFont="1" applyFill="1" applyProtection="1">
      <protection locked="0"/>
    </xf>
    <xf numFmtId="14" fontId="19" fillId="4" borderId="0" xfId="0" applyNumberFormat="1" applyFont="1" applyFill="1" applyProtection="1">
      <protection locked="0"/>
    </xf>
    <xf numFmtId="169" fontId="19" fillId="2" borderId="8" xfId="0" applyNumberFormat="1" applyFont="1" applyFill="1" applyBorder="1" applyAlignment="1" applyProtection="1">
      <alignment horizontal="center"/>
      <protection hidden="1"/>
    </xf>
    <xf numFmtId="167" fontId="19" fillId="4" borderId="0" xfId="0" applyNumberFormat="1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vertical="center"/>
      <protection hidden="1"/>
    </xf>
    <xf numFmtId="168" fontId="19" fillId="0" borderId="9" xfId="0" applyNumberFormat="1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locked="0"/>
    </xf>
    <xf numFmtId="0" fontId="19" fillId="4" borderId="0" xfId="0" applyFont="1" applyFill="1" applyAlignment="1" applyProtection="1">
      <alignment horizontal="center"/>
      <protection locked="0"/>
    </xf>
    <xf numFmtId="0" fontId="18" fillId="5" borderId="10" xfId="0" applyFont="1" applyFill="1" applyBorder="1" applyAlignment="1" applyProtection="1">
      <alignment horizontal="center"/>
      <protection locked="0"/>
    </xf>
    <xf numFmtId="1" fontId="19" fillId="0" borderId="0" xfId="0" applyNumberFormat="1" applyFont="1" applyProtection="1">
      <protection hidden="1"/>
    </xf>
    <xf numFmtId="0" fontId="28" fillId="0" borderId="0" xfId="5" applyFont="1"/>
    <xf numFmtId="169" fontId="19" fillId="0" borderId="11" xfId="0" applyNumberFormat="1" applyFont="1" applyBorder="1" applyAlignment="1" applyProtection="1">
      <alignment horizontal="center"/>
      <protection hidden="1"/>
    </xf>
    <xf numFmtId="169" fontId="5" fillId="0" borderId="4" xfId="0" applyNumberFormat="1" applyFont="1" applyBorder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centerContinuous"/>
      <protection hidden="1"/>
    </xf>
    <xf numFmtId="0" fontId="29" fillId="0" borderId="0" xfId="0" applyFont="1" applyAlignment="1">
      <alignment horizontal="center" vertical="center"/>
    </xf>
    <xf numFmtId="0" fontId="21" fillId="0" borderId="0" xfId="5" applyFont="1" applyAlignment="1">
      <alignment horizontal="right"/>
    </xf>
    <xf numFmtId="0" fontId="22" fillId="0" borderId="0" xfId="1" applyFont="1" applyAlignment="1">
      <alignment horizontal="right" vertical="center"/>
    </xf>
    <xf numFmtId="169" fontId="19" fillId="0" borderId="0" xfId="0" applyNumberFormat="1" applyFont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9" fillId="0" borderId="9" xfId="0" applyFont="1" applyBorder="1" applyAlignment="1">
      <alignment horizontal="left" vertical="center" wrapText="1"/>
    </xf>
    <xf numFmtId="173" fontId="19" fillId="0" borderId="15" xfId="0" applyNumberFormat="1" applyFont="1" applyBorder="1" applyAlignment="1" applyProtection="1">
      <alignment horizontal="center"/>
      <protection hidden="1"/>
    </xf>
    <xf numFmtId="169" fontId="19" fillId="2" borderId="0" xfId="0" applyNumberFormat="1" applyFont="1" applyFill="1" applyAlignment="1" applyProtection="1">
      <alignment horizontal="center"/>
      <protection hidden="1"/>
    </xf>
    <xf numFmtId="169" fontId="19" fillId="0" borderId="8" xfId="0" applyNumberFormat="1" applyFont="1" applyBorder="1" applyAlignment="1" applyProtection="1">
      <alignment horizontal="center"/>
      <protection locked="0"/>
    </xf>
    <xf numFmtId="0" fontId="19" fillId="0" borderId="5" xfId="0" applyFont="1" applyBorder="1" applyAlignment="1" applyProtection="1">
      <alignment horizontal="center"/>
      <protection locked="0" hidden="1"/>
    </xf>
    <xf numFmtId="169" fontId="19" fillId="2" borderId="6" xfId="0" applyNumberFormat="1" applyFont="1" applyFill="1" applyBorder="1" applyAlignment="1" applyProtection="1">
      <alignment horizontal="center"/>
      <protection hidden="1"/>
    </xf>
    <xf numFmtId="169" fontId="19" fillId="2" borderId="16" xfId="0" applyNumberFormat="1" applyFont="1" applyFill="1" applyBorder="1" applyAlignment="1" applyProtection="1">
      <alignment horizontal="center"/>
      <protection hidden="1"/>
    </xf>
    <xf numFmtId="0" fontId="19" fillId="0" borderId="18" xfId="0" applyFont="1" applyBorder="1" applyAlignment="1" applyProtection="1">
      <alignment horizontal="center"/>
      <protection locked="0" hidden="1"/>
    </xf>
    <xf numFmtId="169" fontId="19" fillId="2" borderId="19" xfId="0" applyNumberFormat="1" applyFont="1" applyFill="1" applyBorder="1" applyAlignment="1" applyProtection="1">
      <alignment horizontal="center"/>
      <protection hidden="1"/>
    </xf>
    <xf numFmtId="169" fontId="19" fillId="2" borderId="5" xfId="0" applyNumberFormat="1" applyFont="1" applyFill="1" applyBorder="1" applyAlignment="1" applyProtection="1">
      <alignment horizontal="center"/>
      <protection hidden="1"/>
    </xf>
    <xf numFmtId="169" fontId="19" fillId="2" borderId="20" xfId="0" applyNumberFormat="1" applyFont="1" applyFill="1" applyBorder="1" applyAlignment="1" applyProtection="1">
      <alignment horizontal="center"/>
      <protection hidden="1"/>
    </xf>
    <xf numFmtId="0" fontId="18" fillId="0" borderId="21" xfId="0" applyFont="1" applyBorder="1" applyProtection="1">
      <protection hidden="1"/>
    </xf>
    <xf numFmtId="0" fontId="18" fillId="0" borderId="12" xfId="0" applyFont="1" applyBorder="1" applyProtection="1">
      <protection hidden="1"/>
    </xf>
    <xf numFmtId="169" fontId="19" fillId="0" borderId="6" xfId="0" applyNumberFormat="1" applyFont="1" applyBorder="1" applyAlignment="1" applyProtection="1">
      <alignment horizontal="center"/>
      <protection locked="0"/>
    </xf>
    <xf numFmtId="169" fontId="19" fillId="0" borderId="22" xfId="0" applyNumberFormat="1" applyFont="1" applyBorder="1" applyAlignment="1" applyProtection="1">
      <alignment horizontal="center"/>
      <protection locked="0"/>
    </xf>
    <xf numFmtId="168" fontId="19" fillId="2" borderId="13" xfId="0" applyNumberFormat="1" applyFont="1" applyFill="1" applyBorder="1" applyAlignment="1" applyProtection="1">
      <alignment horizontal="center"/>
      <protection hidden="1"/>
    </xf>
    <xf numFmtId="168" fontId="19" fillId="2" borderId="23" xfId="0" applyNumberFormat="1" applyFont="1" applyFill="1" applyBorder="1" applyAlignment="1" applyProtection="1">
      <alignment horizontal="center"/>
      <protection hidden="1"/>
    </xf>
    <xf numFmtId="170" fontId="19" fillId="0" borderId="24" xfId="0" applyNumberFormat="1" applyFont="1" applyBorder="1" applyAlignment="1" applyProtection="1">
      <alignment horizontal="center"/>
      <protection hidden="1"/>
    </xf>
    <xf numFmtId="170" fontId="19" fillId="0" borderId="25" xfId="0" applyNumberFormat="1" applyFont="1" applyBorder="1" applyAlignment="1" applyProtection="1">
      <alignment horizontal="center"/>
      <protection hidden="1"/>
    </xf>
    <xf numFmtId="169" fontId="19" fillId="0" borderId="26" xfId="0" applyNumberFormat="1" applyFont="1" applyBorder="1" applyAlignment="1" applyProtection="1">
      <alignment horizontal="center"/>
      <protection hidden="1"/>
    </xf>
    <xf numFmtId="0" fontId="18" fillId="0" borderId="14" xfId="0" applyFont="1" applyBorder="1" applyAlignment="1" applyProtection="1">
      <alignment horizontal="left"/>
      <protection hidden="1"/>
    </xf>
    <xf numFmtId="0" fontId="18" fillId="0" borderId="14" xfId="0" applyFont="1" applyBorder="1" applyProtection="1">
      <protection hidden="1"/>
    </xf>
    <xf numFmtId="169" fontId="19" fillId="2" borderId="5" xfId="0" applyNumberFormat="1" applyFont="1" applyFill="1" applyBorder="1" applyProtection="1">
      <protection hidden="1"/>
    </xf>
    <xf numFmtId="169" fontId="19" fillId="2" borderId="6" xfId="0" applyNumberFormat="1" applyFont="1" applyFill="1" applyBorder="1" applyProtection="1">
      <protection hidden="1"/>
    </xf>
    <xf numFmtId="169" fontId="19" fillId="2" borderId="20" xfId="0" applyNumberFormat="1" applyFont="1" applyFill="1" applyBorder="1" applyProtection="1">
      <protection hidden="1"/>
    </xf>
    <xf numFmtId="169" fontId="19" fillId="2" borderId="16" xfId="0" applyNumberFormat="1" applyFont="1" applyFill="1" applyBorder="1" applyProtection="1">
      <protection hidden="1"/>
    </xf>
    <xf numFmtId="0" fontId="19" fillId="0" borderId="14" xfId="0" applyFont="1" applyBorder="1" applyProtection="1">
      <protection hidden="1"/>
    </xf>
    <xf numFmtId="49" fontId="19" fillId="0" borderId="0" xfId="0" applyNumberFormat="1" applyFont="1" applyProtection="1">
      <protection locked="0"/>
    </xf>
    <xf numFmtId="0" fontId="19" fillId="0" borderId="20" xfId="0" applyFont="1" applyBorder="1" applyAlignment="1" applyProtection="1">
      <alignment horizontal="center"/>
      <protection locked="0" hidden="1"/>
    </xf>
    <xf numFmtId="169" fontId="19" fillId="0" borderId="27" xfId="0" applyNumberFormat="1" applyFont="1" applyBorder="1" applyAlignment="1" applyProtection="1">
      <alignment horizont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30" fillId="0" borderId="0" xfId="0" applyFont="1" applyAlignment="1" applyProtection="1">
      <alignment vertical="center"/>
      <protection hidden="1"/>
    </xf>
    <xf numFmtId="0" fontId="29" fillId="0" borderId="0" xfId="0" applyFont="1" applyAlignment="1">
      <alignment vertical="center"/>
    </xf>
    <xf numFmtId="168" fontId="19" fillId="0" borderId="28" xfId="0" applyNumberFormat="1" applyFont="1" applyBorder="1" applyAlignment="1" applyProtection="1">
      <alignment horizontal="center"/>
      <protection hidden="1"/>
    </xf>
    <xf numFmtId="168" fontId="19" fillId="0" borderId="24" xfId="0" applyNumberFormat="1" applyFont="1" applyBorder="1" applyAlignment="1" applyProtection="1">
      <alignment horizontal="center"/>
      <protection hidden="1"/>
    </xf>
    <xf numFmtId="165" fontId="19" fillId="0" borderId="26" xfId="0" applyNumberFormat="1" applyFont="1" applyBorder="1" applyAlignment="1" applyProtection="1">
      <alignment horizontal="center"/>
      <protection hidden="1"/>
    </xf>
    <xf numFmtId="165" fontId="19" fillId="0" borderId="15" xfId="0" applyNumberFormat="1" applyFont="1" applyBorder="1" applyAlignment="1" applyProtection="1">
      <alignment horizontal="center"/>
      <protection hidden="1"/>
    </xf>
    <xf numFmtId="169" fontId="19" fillId="2" borderId="31" xfId="0" applyNumberFormat="1" applyFont="1" applyFill="1" applyBorder="1" applyProtection="1">
      <protection hidden="1"/>
    </xf>
    <xf numFmtId="169" fontId="19" fillId="2" borderId="32" xfId="0" applyNumberFormat="1" applyFont="1" applyFill="1" applyBorder="1" applyProtection="1">
      <protection hidden="1"/>
    </xf>
    <xf numFmtId="0" fontId="19" fillId="0" borderId="33" xfId="0" applyFont="1" applyBorder="1" applyAlignment="1" applyProtection="1">
      <alignment horizontal="center"/>
      <protection hidden="1"/>
    </xf>
    <xf numFmtId="0" fontId="19" fillId="0" borderId="5" xfId="0" applyFont="1" applyBorder="1" applyProtection="1">
      <protection locked="0" hidden="1"/>
    </xf>
    <xf numFmtId="0" fontId="19" fillId="0" borderId="21" xfId="0" applyFont="1" applyBorder="1" applyProtection="1">
      <protection hidden="1"/>
    </xf>
    <xf numFmtId="169" fontId="19" fillId="0" borderId="15" xfId="0" applyNumberFormat="1" applyFont="1" applyBorder="1" applyAlignment="1" applyProtection="1">
      <alignment horizontal="center"/>
      <protection hidden="1"/>
    </xf>
    <xf numFmtId="0" fontId="19" fillId="0" borderId="18" xfId="0" applyFont="1" applyBorder="1" applyProtection="1">
      <protection locked="0" hidden="1"/>
    </xf>
    <xf numFmtId="0" fontId="19" fillId="0" borderId="31" xfId="0" applyFont="1" applyBorder="1" applyProtection="1">
      <protection locked="0" hidden="1"/>
    </xf>
    <xf numFmtId="0" fontId="19" fillId="0" borderId="31" xfId="0" applyFont="1" applyBorder="1" applyProtection="1">
      <protection hidden="1"/>
    </xf>
    <xf numFmtId="0" fontId="19" fillId="0" borderId="0" xfId="0" applyFont="1" applyProtection="1">
      <protection locked="0" hidden="1"/>
    </xf>
    <xf numFmtId="172" fontId="19" fillId="0" borderId="0" xfId="0" applyNumberFormat="1" applyFont="1" applyAlignment="1" applyProtection="1">
      <alignment horizontal="center"/>
      <protection locked="0"/>
    </xf>
    <xf numFmtId="20" fontId="19" fillId="0" borderId="0" xfId="0" applyNumberFormat="1" applyFont="1" applyAlignment="1" applyProtection="1">
      <alignment horizontal="center"/>
      <protection locked="0"/>
    </xf>
    <xf numFmtId="168" fontId="19" fillId="0" borderId="37" xfId="0" applyNumberFormat="1" applyFont="1" applyBorder="1" applyAlignment="1" applyProtection="1">
      <alignment horizontal="center"/>
      <protection hidden="1"/>
    </xf>
    <xf numFmtId="169" fontId="19" fillId="0" borderId="37" xfId="0" applyNumberFormat="1" applyFont="1" applyBorder="1" applyAlignment="1" applyProtection="1">
      <alignment horizontal="center"/>
      <protection hidden="1"/>
    </xf>
    <xf numFmtId="169" fontId="19" fillId="0" borderId="28" xfId="0" applyNumberFormat="1" applyFont="1" applyBorder="1" applyProtection="1">
      <protection hidden="1"/>
    </xf>
    <xf numFmtId="169" fontId="19" fillId="0" borderId="36" xfId="0" applyNumberFormat="1" applyFont="1" applyBorder="1" applyProtection="1">
      <protection hidden="1"/>
    </xf>
    <xf numFmtId="169" fontId="19" fillId="0" borderId="9" xfId="0" applyNumberFormat="1" applyFont="1" applyBorder="1" applyAlignment="1" applyProtection="1">
      <alignment horizontal="center"/>
      <protection hidden="1"/>
    </xf>
    <xf numFmtId="169" fontId="19" fillId="0" borderId="24" xfId="0" applyNumberFormat="1" applyFont="1" applyBorder="1" applyProtection="1">
      <protection hidden="1"/>
    </xf>
    <xf numFmtId="169" fontId="19" fillId="0" borderId="38" xfId="0" applyNumberFormat="1" applyFont="1" applyBorder="1" applyProtection="1">
      <protection hidden="1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horizontal="left" vertical="center"/>
    </xf>
    <xf numFmtId="20" fontId="19" fillId="0" borderId="0" xfId="0" applyNumberFormat="1" applyFont="1" applyProtection="1">
      <protection locked="0"/>
    </xf>
    <xf numFmtId="14" fontId="19" fillId="0" borderId="0" xfId="0" applyNumberFormat="1" applyFont="1" applyProtection="1">
      <protection locked="0"/>
    </xf>
    <xf numFmtId="14" fontId="19" fillId="0" borderId="0" xfId="0" applyNumberFormat="1" applyFont="1" applyAlignment="1" applyProtection="1">
      <alignment horizontal="left"/>
      <protection locked="0" hidden="1"/>
    </xf>
    <xf numFmtId="0" fontId="19" fillId="0" borderId="0" xfId="0" quotePrefix="1" applyFont="1" applyProtection="1">
      <protection locked="0" hidden="1"/>
    </xf>
    <xf numFmtId="0" fontId="20" fillId="0" borderId="0" xfId="0" applyFont="1" applyAlignment="1" applyProtection="1">
      <alignment horizontal="right"/>
      <protection hidden="1"/>
    </xf>
    <xf numFmtId="0" fontId="24" fillId="0" borderId="26" xfId="0" applyFont="1" applyBorder="1" applyAlignment="1" applyProtection="1">
      <alignment horizontal="center"/>
      <protection hidden="1"/>
    </xf>
    <xf numFmtId="0" fontId="24" fillId="0" borderId="39" xfId="0" applyFont="1" applyBorder="1" applyAlignment="1" applyProtection="1">
      <alignment vertical="center"/>
      <protection hidden="1"/>
    </xf>
    <xf numFmtId="0" fontId="24" fillId="0" borderId="21" xfId="0" applyFont="1" applyBorder="1" applyAlignment="1" applyProtection="1">
      <alignment horizontal="center" vertical="center"/>
      <protection hidden="1"/>
    </xf>
    <xf numFmtId="0" fontId="18" fillId="0" borderId="15" xfId="0" applyFont="1" applyBorder="1" applyAlignment="1" applyProtection="1">
      <alignment horizontal="center"/>
      <protection locked="0" hidden="1"/>
    </xf>
    <xf numFmtId="169" fontId="19" fillId="0" borderId="32" xfId="0" applyNumberFormat="1" applyFont="1" applyBorder="1" applyAlignment="1" applyProtection="1">
      <alignment horizontal="center"/>
      <protection locked="0"/>
    </xf>
    <xf numFmtId="0" fontId="31" fillId="0" borderId="0" xfId="0" applyFont="1" applyProtection="1">
      <protection hidden="1"/>
    </xf>
    <xf numFmtId="169" fontId="31" fillId="0" borderId="0" xfId="0" applyNumberFormat="1" applyFont="1" applyProtection="1">
      <protection hidden="1"/>
    </xf>
    <xf numFmtId="172" fontId="19" fillId="0" borderId="10" xfId="0" applyNumberFormat="1" applyFont="1" applyBorder="1" applyAlignment="1" applyProtection="1">
      <alignment horizontal="center"/>
      <protection locked="0"/>
    </xf>
    <xf numFmtId="168" fontId="19" fillId="0" borderId="14" xfId="0" applyNumberFormat="1" applyFont="1" applyBorder="1" applyAlignment="1" applyProtection="1">
      <alignment horizontal="center"/>
      <protection hidden="1"/>
    </xf>
    <xf numFmtId="0" fontId="28" fillId="0" borderId="0" xfId="1" applyFont="1" applyAlignment="1">
      <alignment vertical="center"/>
    </xf>
    <xf numFmtId="0" fontId="30" fillId="0" borderId="0" xfId="0" applyFont="1" applyProtection="1">
      <protection hidden="1"/>
    </xf>
    <xf numFmtId="49" fontId="18" fillId="0" borderId="5" xfId="0" applyNumberFormat="1" applyFont="1" applyBorder="1" applyProtection="1">
      <protection hidden="1"/>
    </xf>
    <xf numFmtId="49" fontId="18" fillId="0" borderId="10" xfId="0" applyNumberFormat="1" applyFont="1" applyBorder="1" applyProtection="1">
      <protection hidden="1"/>
    </xf>
    <xf numFmtId="49" fontId="18" fillId="0" borderId="8" xfId="0" applyNumberFormat="1" applyFont="1" applyBorder="1" applyProtection="1">
      <protection hidden="1"/>
    </xf>
    <xf numFmtId="169" fontId="19" fillId="0" borderId="14" xfId="0" applyNumberFormat="1" applyFont="1" applyBorder="1" applyAlignment="1" applyProtection="1">
      <alignment horizontal="center"/>
      <protection hidden="1"/>
    </xf>
    <xf numFmtId="168" fontId="19" fillId="0" borderId="0" xfId="0" applyNumberFormat="1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>
      <alignment horizontal="center" vertical="center"/>
    </xf>
    <xf numFmtId="173" fontId="32" fillId="0" borderId="0" xfId="0" applyNumberFormat="1" applyFont="1" applyAlignment="1">
      <alignment horizontal="center" vertical="center"/>
    </xf>
    <xf numFmtId="0" fontId="32" fillId="6" borderId="9" xfId="0" applyFont="1" applyFill="1" applyBorder="1" applyAlignment="1" applyProtection="1">
      <alignment horizontal="center"/>
      <protection hidden="1"/>
    </xf>
    <xf numFmtId="175" fontId="32" fillId="6" borderId="9" xfId="0" applyNumberFormat="1" applyFont="1" applyFill="1" applyBorder="1" applyAlignment="1" applyProtection="1">
      <alignment horizontal="center"/>
      <protection hidden="1"/>
    </xf>
    <xf numFmtId="169" fontId="19" fillId="7" borderId="43" xfId="0" applyNumberFormat="1" applyFont="1" applyFill="1" applyBorder="1" applyAlignment="1" applyProtection="1">
      <alignment horizontal="center"/>
      <protection hidden="1"/>
    </xf>
    <xf numFmtId="169" fontId="19" fillId="7" borderId="26" xfId="0" applyNumberFormat="1" applyFont="1" applyFill="1" applyBorder="1" applyAlignment="1" applyProtection="1">
      <alignment horizontal="center"/>
      <protection hidden="1"/>
    </xf>
    <xf numFmtId="169" fontId="19" fillId="7" borderId="15" xfId="0" applyNumberFormat="1" applyFont="1" applyFill="1" applyBorder="1" applyAlignment="1" applyProtection="1">
      <alignment horizontal="center"/>
      <protection hidden="1"/>
    </xf>
    <xf numFmtId="0" fontId="19" fillId="0" borderId="31" xfId="0" applyFont="1" applyBorder="1" applyAlignment="1" applyProtection="1">
      <alignment horizontal="center"/>
      <protection locked="0" hidden="1"/>
    </xf>
    <xf numFmtId="170" fontId="19" fillId="0" borderId="44" xfId="0" applyNumberFormat="1" applyFont="1" applyBorder="1" applyAlignment="1" applyProtection="1">
      <alignment horizontal="center"/>
      <protection hidden="1"/>
    </xf>
    <xf numFmtId="168" fontId="19" fillId="2" borderId="45" xfId="0" applyNumberFormat="1" applyFont="1" applyFill="1" applyBorder="1" applyAlignment="1" applyProtection="1">
      <alignment horizontal="center"/>
      <protection hidden="1"/>
    </xf>
    <xf numFmtId="169" fontId="19" fillId="2" borderId="46" xfId="0" applyNumberFormat="1" applyFont="1" applyFill="1" applyBorder="1" applyAlignment="1" applyProtection="1">
      <alignment horizontal="center"/>
      <protection hidden="1"/>
    </xf>
    <xf numFmtId="169" fontId="19" fillId="2" borderId="31" xfId="0" applyNumberFormat="1" applyFont="1" applyFill="1" applyBorder="1" applyAlignment="1" applyProtection="1">
      <alignment horizontal="center"/>
      <protection hidden="1"/>
    </xf>
    <xf numFmtId="169" fontId="19" fillId="2" borderId="32" xfId="0" applyNumberFormat="1" applyFont="1" applyFill="1" applyBorder="1" applyAlignment="1" applyProtection="1">
      <alignment horizontal="center"/>
      <protection hidden="1"/>
    </xf>
    <xf numFmtId="0" fontId="18" fillId="4" borderId="21" xfId="0" applyFont="1" applyFill="1" applyBorder="1" applyProtection="1">
      <protection hidden="1"/>
    </xf>
    <xf numFmtId="0" fontId="18" fillId="4" borderId="11" xfId="0" applyFont="1" applyFill="1" applyBorder="1" applyAlignment="1" applyProtection="1">
      <alignment horizontal="left"/>
      <protection hidden="1"/>
    </xf>
    <xf numFmtId="0" fontId="18" fillId="4" borderId="11" xfId="0" applyFont="1" applyFill="1" applyBorder="1" applyProtection="1">
      <protection hidden="1"/>
    </xf>
    <xf numFmtId="0" fontId="18" fillId="4" borderId="43" xfId="0" applyFont="1" applyFill="1" applyBorder="1" applyAlignment="1" applyProtection="1">
      <alignment horizontal="center"/>
      <protection locked="0"/>
    </xf>
    <xf numFmtId="0" fontId="18" fillId="7" borderId="20" xfId="0" applyFont="1" applyFill="1" applyBorder="1" applyAlignment="1" applyProtection="1">
      <alignment horizontal="center" vertical="center"/>
      <protection hidden="1"/>
    </xf>
    <xf numFmtId="0" fontId="18" fillId="7" borderId="16" xfId="0" applyFont="1" applyFill="1" applyBorder="1" applyAlignment="1" applyProtection="1">
      <alignment horizontal="center" vertical="center"/>
      <protection hidden="1"/>
    </xf>
    <xf numFmtId="169" fontId="19" fillId="7" borderId="39" xfId="0" applyNumberFormat="1" applyFont="1" applyFill="1" applyBorder="1" applyAlignment="1" applyProtection="1">
      <alignment horizontal="center"/>
      <protection hidden="1"/>
    </xf>
    <xf numFmtId="169" fontId="19" fillId="0" borderId="46" xfId="0" applyNumberFormat="1" applyFont="1" applyBorder="1" applyAlignment="1" applyProtection="1">
      <alignment horizontal="center"/>
      <protection locked="0"/>
    </xf>
    <xf numFmtId="169" fontId="19" fillId="7" borderId="21" xfId="0" applyNumberFormat="1" applyFont="1" applyFill="1" applyBorder="1" applyProtection="1">
      <protection hidden="1"/>
    </xf>
    <xf numFmtId="169" fontId="19" fillId="7" borderId="39" xfId="0" applyNumberFormat="1" applyFont="1" applyFill="1" applyBorder="1" applyProtection="1">
      <protection hidden="1"/>
    </xf>
    <xf numFmtId="173" fontId="32" fillId="0" borderId="0" xfId="0" applyNumberFormat="1" applyFont="1" applyAlignment="1" applyProtection="1">
      <alignment horizontal="center" vertical="center"/>
      <protection hidden="1"/>
    </xf>
    <xf numFmtId="168" fontId="19" fillId="0" borderId="11" xfId="0" applyNumberFormat="1" applyFont="1" applyBorder="1" applyAlignment="1" applyProtection="1">
      <alignment horizontal="center"/>
      <protection hidden="1"/>
    </xf>
    <xf numFmtId="166" fontId="19" fillId="0" borderId="11" xfId="0" applyNumberFormat="1" applyFont="1" applyBorder="1" applyAlignment="1" applyProtection="1">
      <alignment horizontal="center"/>
      <protection hidden="1"/>
    </xf>
    <xf numFmtId="169" fontId="19" fillId="0" borderId="19" xfId="0" applyNumberFormat="1" applyFont="1" applyBorder="1" applyAlignment="1" applyProtection="1">
      <alignment horizontal="center"/>
      <protection locked="0"/>
    </xf>
    <xf numFmtId="167" fontId="19" fillId="8" borderId="10" xfId="0" applyNumberFormat="1" applyFont="1" applyFill="1" applyBorder="1" applyAlignment="1" applyProtection="1">
      <alignment horizontal="center"/>
      <protection locked="0"/>
    </xf>
    <xf numFmtId="169" fontId="19" fillId="8" borderId="8" xfId="0" applyNumberFormat="1" applyFont="1" applyFill="1" applyBorder="1" applyAlignment="1" applyProtection="1">
      <alignment horizontal="center"/>
      <protection locked="0"/>
    </xf>
    <xf numFmtId="169" fontId="19" fillId="8" borderId="10" xfId="0" applyNumberFormat="1" applyFont="1" applyFill="1" applyBorder="1" applyAlignment="1" applyProtection="1">
      <alignment horizontal="center"/>
      <protection locked="0"/>
    </xf>
    <xf numFmtId="169" fontId="19" fillId="8" borderId="17" xfId="0" applyNumberFormat="1" applyFont="1" applyFill="1" applyBorder="1" applyAlignment="1" applyProtection="1">
      <alignment horizontal="center"/>
      <protection locked="0"/>
    </xf>
    <xf numFmtId="167" fontId="19" fillId="8" borderId="17" xfId="0" applyNumberFormat="1" applyFont="1" applyFill="1" applyBorder="1" applyAlignment="1" applyProtection="1">
      <alignment horizontal="center"/>
      <protection locked="0"/>
    </xf>
    <xf numFmtId="169" fontId="19" fillId="8" borderId="19" xfId="0" applyNumberFormat="1" applyFont="1" applyFill="1" applyBorder="1" applyAlignment="1" applyProtection="1">
      <alignment horizontal="center"/>
      <protection locked="0"/>
    </xf>
    <xf numFmtId="168" fontId="19" fillId="8" borderId="35" xfId="0" applyNumberFormat="1" applyFont="1" applyFill="1" applyBorder="1" applyAlignment="1" applyProtection="1">
      <alignment horizontal="center"/>
      <protection hidden="1"/>
    </xf>
    <xf numFmtId="168" fontId="19" fillId="8" borderId="10" xfId="0" applyNumberFormat="1" applyFont="1" applyFill="1" applyBorder="1" applyAlignment="1" applyProtection="1">
      <alignment horizontal="center"/>
      <protection hidden="1"/>
    </xf>
    <xf numFmtId="168" fontId="19" fillId="8" borderId="17" xfId="0" applyNumberFormat="1" applyFont="1" applyFill="1" applyBorder="1" applyAlignment="1" applyProtection="1">
      <alignment horizontal="center"/>
      <protection hidden="1"/>
    </xf>
    <xf numFmtId="169" fontId="5" fillId="0" borderId="16" xfId="0" applyNumberFormat="1" applyFont="1" applyBorder="1" applyAlignment="1" applyProtection="1">
      <alignment horizontal="center"/>
      <protection hidden="1"/>
    </xf>
    <xf numFmtId="169" fontId="5" fillId="0" borderId="20" xfId="0" applyNumberFormat="1" applyFont="1" applyBorder="1" applyAlignment="1" applyProtection="1">
      <alignment horizontal="center"/>
      <protection hidden="1"/>
    </xf>
    <xf numFmtId="0" fontId="24" fillId="6" borderId="13" xfId="0" applyFont="1" applyFill="1" applyBorder="1" applyProtection="1">
      <protection hidden="1"/>
    </xf>
    <xf numFmtId="0" fontId="19" fillId="6" borderId="9" xfId="0" applyFont="1" applyFill="1" applyBorder="1" applyProtection="1">
      <protection hidden="1"/>
    </xf>
    <xf numFmtId="169" fontId="19" fillId="6" borderId="9" xfId="0" applyNumberFormat="1" applyFont="1" applyFill="1" applyBorder="1" applyProtection="1">
      <protection hidden="1"/>
    </xf>
    <xf numFmtId="169" fontId="19" fillId="6" borderId="9" xfId="0" applyNumberFormat="1" applyFont="1" applyFill="1" applyBorder="1" applyAlignment="1" applyProtection="1">
      <alignment horizontal="center"/>
      <protection hidden="1"/>
    </xf>
    <xf numFmtId="0" fontId="19" fillId="6" borderId="13" xfId="0" applyFont="1" applyFill="1" applyBorder="1" applyProtection="1">
      <protection hidden="1"/>
    </xf>
    <xf numFmtId="0" fontId="5" fillId="0" borderId="9" xfId="0" applyFont="1" applyBorder="1" applyProtection="1">
      <protection hidden="1"/>
    </xf>
    <xf numFmtId="0" fontId="5" fillId="0" borderId="9" xfId="0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8" borderId="0" xfId="0" applyFont="1" applyFill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0" fontId="31" fillId="0" borderId="0" xfId="0" applyFont="1" applyProtection="1">
      <protection locked="0"/>
    </xf>
    <xf numFmtId="0" fontId="18" fillId="7" borderId="74" xfId="0" applyFont="1" applyFill="1" applyBorder="1" applyAlignment="1" applyProtection="1">
      <alignment horizontal="center" vertical="center"/>
      <protection hidden="1"/>
    </xf>
    <xf numFmtId="0" fontId="18" fillId="7" borderId="75" xfId="0" applyFont="1" applyFill="1" applyBorder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/>
      <protection hidden="1"/>
    </xf>
    <xf numFmtId="174" fontId="19" fillId="0" borderId="10" xfId="0" applyNumberFormat="1" applyFont="1" applyBorder="1" applyAlignment="1" applyProtection="1">
      <alignment horizontal="center"/>
      <protection locked="0"/>
    </xf>
    <xf numFmtId="0" fontId="19" fillId="8" borderId="10" xfId="0" applyFont="1" applyFill="1" applyBorder="1" applyAlignment="1" applyProtection="1">
      <alignment horizontal="center"/>
      <protection locked="0"/>
    </xf>
    <xf numFmtId="0" fontId="19" fillId="8" borderId="17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left"/>
      <protection locked="0"/>
    </xf>
    <xf numFmtId="0" fontId="19" fillId="8" borderId="18" xfId="0" applyFont="1" applyFill="1" applyBorder="1" applyAlignment="1" applyProtection="1">
      <alignment horizontal="left"/>
      <protection locked="0"/>
    </xf>
    <xf numFmtId="14" fontId="5" fillId="8" borderId="9" xfId="0" applyNumberFormat="1" applyFont="1" applyFill="1" applyBorder="1" applyAlignment="1" applyProtection="1">
      <alignment horizontal="left"/>
      <protection hidden="1"/>
    </xf>
    <xf numFmtId="0" fontId="5" fillId="8" borderId="9" xfId="0" applyFont="1" applyFill="1" applyBorder="1" applyAlignment="1" applyProtection="1">
      <alignment horizontal="center"/>
      <protection hidden="1"/>
    </xf>
    <xf numFmtId="0" fontId="18" fillId="0" borderId="33" xfId="0" applyFont="1" applyBorder="1" applyAlignment="1" applyProtection="1">
      <alignment horizontal="center"/>
      <protection hidden="1"/>
    </xf>
    <xf numFmtId="2" fontId="19" fillId="0" borderId="43" xfId="0" applyNumberFormat="1" applyFont="1" applyBorder="1" applyAlignment="1" applyProtection="1">
      <alignment horizontal="center"/>
      <protection locked="0"/>
    </xf>
    <xf numFmtId="2" fontId="19" fillId="0" borderId="21" xfId="0" applyNumberFormat="1" applyFont="1" applyBorder="1" applyAlignment="1" applyProtection="1">
      <alignment horizontal="center"/>
      <protection locked="0"/>
    </xf>
    <xf numFmtId="0" fontId="18" fillId="0" borderId="33" xfId="0" applyFont="1" applyBorder="1" applyProtection="1">
      <protection hidden="1"/>
    </xf>
    <xf numFmtId="2" fontId="19" fillId="0" borderId="26" xfId="0" applyNumberFormat="1" applyFont="1" applyBorder="1" applyAlignment="1" applyProtection="1">
      <alignment horizontal="center"/>
      <protection locked="0"/>
    </xf>
    <xf numFmtId="0" fontId="19" fillId="0" borderId="31" xfId="0" applyFont="1" applyBorder="1" applyAlignment="1" applyProtection="1">
      <alignment horizontal="left"/>
      <protection locked="0"/>
    </xf>
    <xf numFmtId="0" fontId="19" fillId="0" borderId="35" xfId="0" applyFont="1" applyBorder="1" applyAlignment="1" applyProtection="1">
      <alignment horizontal="center"/>
      <protection locked="0"/>
    </xf>
    <xf numFmtId="169" fontId="19" fillId="0" borderId="35" xfId="0" applyNumberFormat="1" applyFont="1" applyBorder="1" applyAlignment="1" applyProtection="1">
      <alignment horizontal="center"/>
      <protection locked="0"/>
    </xf>
    <xf numFmtId="0" fontId="19" fillId="0" borderId="5" xfId="0" applyFont="1" applyBorder="1" applyAlignment="1" applyProtection="1">
      <alignment horizontal="left"/>
      <protection locked="0"/>
    </xf>
    <xf numFmtId="0" fontId="19" fillId="0" borderId="10" xfId="0" applyFont="1" applyBorder="1" applyAlignment="1" applyProtection="1">
      <alignment horizontal="center"/>
      <protection locked="0"/>
    </xf>
    <xf numFmtId="169" fontId="19" fillId="0" borderId="10" xfId="0" applyNumberFormat="1" applyFont="1" applyBorder="1" applyAlignment="1" applyProtection="1">
      <alignment horizontal="center"/>
      <protection locked="0"/>
    </xf>
    <xf numFmtId="167" fontId="19" fillId="0" borderId="35" xfId="0" applyNumberFormat="1" applyFont="1" applyBorder="1" applyAlignment="1" applyProtection="1">
      <alignment horizontal="center"/>
      <protection locked="0"/>
    </xf>
    <xf numFmtId="167" fontId="19" fillId="0" borderId="10" xfId="0" applyNumberFormat="1" applyFont="1" applyBorder="1" applyAlignment="1" applyProtection="1">
      <alignment horizontal="center"/>
      <protection locked="0"/>
    </xf>
    <xf numFmtId="168" fontId="19" fillId="0" borderId="35" xfId="0" applyNumberFormat="1" applyFont="1" applyBorder="1" applyAlignment="1" applyProtection="1">
      <alignment horizontal="center"/>
      <protection hidden="1"/>
    </xf>
    <xf numFmtId="168" fontId="19" fillId="0" borderId="10" xfId="0" applyNumberFormat="1" applyFont="1" applyBorder="1" applyAlignment="1" applyProtection="1">
      <alignment horizontal="center"/>
      <protection hidden="1"/>
    </xf>
    <xf numFmtId="169" fontId="32" fillId="0" borderId="0" xfId="0" applyNumberFormat="1" applyFont="1" applyAlignment="1" applyProtection="1">
      <alignment horizontal="center" vertical="center"/>
      <protection hidden="1"/>
    </xf>
    <xf numFmtId="2" fontId="19" fillId="0" borderId="14" xfId="0" applyNumberFormat="1" applyFont="1" applyBorder="1" applyAlignment="1" applyProtection="1">
      <alignment horizontal="center"/>
      <protection locked="0"/>
    </xf>
    <xf numFmtId="2" fontId="19" fillId="0" borderId="12" xfId="0" applyNumberFormat="1" applyFont="1" applyBorder="1" applyAlignment="1" applyProtection="1">
      <alignment horizontal="center"/>
      <protection locked="0"/>
    </xf>
    <xf numFmtId="2" fontId="18" fillId="0" borderId="47" xfId="0" applyNumberFormat="1" applyFont="1" applyBorder="1" applyAlignment="1" applyProtection="1">
      <alignment horizontal="center"/>
      <protection locked="0" hidden="1"/>
    </xf>
    <xf numFmtId="2" fontId="18" fillId="0" borderId="48" xfId="0" applyNumberFormat="1" applyFont="1" applyBorder="1" applyAlignment="1" applyProtection="1">
      <alignment horizontal="center"/>
      <protection locked="0" hidden="1"/>
    </xf>
    <xf numFmtId="2" fontId="18" fillId="0" borderId="7" xfId="0" applyNumberFormat="1" applyFont="1" applyBorder="1" applyAlignment="1" applyProtection="1">
      <alignment horizontal="center"/>
      <protection locked="0" hidden="1"/>
    </xf>
    <xf numFmtId="0" fontId="19" fillId="0" borderId="34" xfId="0" applyFont="1" applyBorder="1" applyAlignment="1" applyProtection="1">
      <alignment horizontal="center" vertical="center"/>
      <protection hidden="1"/>
    </xf>
    <xf numFmtId="0" fontId="19" fillId="0" borderId="35" xfId="0" applyFont="1" applyBorder="1" applyAlignment="1" applyProtection="1">
      <alignment horizontal="center"/>
      <protection locked="0" hidden="1"/>
    </xf>
    <xf numFmtId="170" fontId="19" fillId="0" borderId="41" xfId="0" applyNumberFormat="1" applyFont="1" applyBorder="1" applyAlignment="1" applyProtection="1">
      <alignment horizontal="center"/>
      <protection hidden="1"/>
    </xf>
    <xf numFmtId="168" fontId="19" fillId="0" borderId="1" xfId="0" applyNumberFormat="1" applyFont="1" applyBorder="1" applyAlignment="1" applyProtection="1">
      <alignment horizontal="center"/>
      <protection hidden="1"/>
    </xf>
    <xf numFmtId="168" fontId="19" fillId="0" borderId="44" xfId="0" applyNumberFormat="1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locked="0" hidden="1"/>
    </xf>
    <xf numFmtId="170" fontId="19" fillId="0" borderId="38" xfId="0" applyNumberFormat="1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/>
      <protection locked="0" hidden="1"/>
    </xf>
    <xf numFmtId="169" fontId="19" fillId="0" borderId="17" xfId="0" applyNumberFormat="1" applyFont="1" applyBorder="1" applyAlignment="1" applyProtection="1">
      <alignment horizontal="center"/>
      <protection locked="0"/>
    </xf>
    <xf numFmtId="167" fontId="19" fillId="0" borderId="17" xfId="0" applyNumberFormat="1" applyFont="1" applyBorder="1" applyAlignment="1" applyProtection="1">
      <alignment horizontal="center"/>
      <protection locked="0"/>
    </xf>
    <xf numFmtId="170" fontId="19" fillId="0" borderId="42" xfId="0" applyNumberFormat="1" applyFont="1" applyBorder="1" applyAlignment="1" applyProtection="1">
      <alignment horizontal="center"/>
      <protection hidden="1"/>
    </xf>
    <xf numFmtId="0" fontId="18" fillId="0" borderId="40" xfId="0" applyFont="1" applyBorder="1" applyAlignment="1" applyProtection="1">
      <alignment horizontal="center"/>
      <protection locked="0" hidden="1"/>
    </xf>
    <xf numFmtId="169" fontId="19" fillId="0" borderId="1" xfId="0" applyNumberFormat="1" applyFont="1" applyBorder="1" applyAlignment="1" applyProtection="1">
      <alignment horizontal="center"/>
      <protection hidden="1"/>
    </xf>
    <xf numFmtId="169" fontId="19" fillId="0" borderId="31" xfId="0" applyNumberFormat="1" applyFont="1" applyBorder="1" applyProtection="1">
      <protection hidden="1"/>
    </xf>
    <xf numFmtId="169" fontId="19" fillId="0" borderId="32" xfId="0" applyNumberFormat="1" applyFont="1" applyBorder="1" applyProtection="1">
      <protection hidden="1"/>
    </xf>
    <xf numFmtId="169" fontId="19" fillId="0" borderId="5" xfId="0" applyNumberFormat="1" applyFont="1" applyBorder="1" applyProtection="1">
      <protection hidden="1"/>
    </xf>
    <xf numFmtId="169" fontId="19" fillId="0" borderId="6" xfId="0" applyNumberFormat="1" applyFont="1" applyBorder="1" applyProtection="1">
      <protection hidden="1"/>
    </xf>
    <xf numFmtId="169" fontId="19" fillId="0" borderId="2" xfId="0" applyNumberFormat="1" applyFont="1" applyBorder="1" applyAlignment="1" applyProtection="1">
      <alignment horizontal="center"/>
      <protection hidden="1"/>
    </xf>
    <xf numFmtId="169" fontId="19" fillId="0" borderId="18" xfId="0" applyNumberFormat="1" applyFont="1" applyBorder="1" applyProtection="1">
      <protection hidden="1"/>
    </xf>
    <xf numFmtId="169" fontId="19" fillId="0" borderId="22" xfId="0" applyNumberFormat="1" applyFont="1" applyBorder="1" applyProtection="1">
      <protection hidden="1"/>
    </xf>
    <xf numFmtId="0" fontId="19" fillId="0" borderId="34" xfId="0" applyFont="1" applyBorder="1" applyAlignment="1" applyProtection="1">
      <alignment horizontal="center"/>
      <protection hidden="1"/>
    </xf>
    <xf numFmtId="0" fontId="19" fillId="0" borderId="35" xfId="0" applyFont="1" applyBorder="1" applyAlignment="1" applyProtection="1">
      <alignment horizontal="center"/>
      <protection hidden="1"/>
    </xf>
    <xf numFmtId="0" fontId="19" fillId="0" borderId="29" xfId="0" applyFont="1" applyBorder="1" applyAlignment="1" applyProtection="1">
      <alignment horizontal="center"/>
      <protection locked="0" hidden="1"/>
    </xf>
    <xf numFmtId="169" fontId="19" fillId="0" borderId="30" xfId="0" applyNumberFormat="1" applyFont="1" applyBorder="1" applyAlignment="1" applyProtection="1">
      <alignment horizontal="center"/>
      <protection locked="0"/>
    </xf>
    <xf numFmtId="170" fontId="19" fillId="0" borderId="36" xfId="0" applyNumberFormat="1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vertical="center"/>
      <protection hidden="1"/>
    </xf>
    <xf numFmtId="169" fontId="19" fillId="6" borderId="9" xfId="0" applyNumberFormat="1" applyFont="1" applyFill="1" applyBorder="1" applyAlignment="1" applyProtection="1">
      <alignment horizontal="right"/>
      <protection hidden="1"/>
    </xf>
    <xf numFmtId="0" fontId="21" fillId="0" borderId="0" xfId="5" applyFont="1" applyAlignment="1">
      <alignment horizontal="right"/>
    </xf>
    <xf numFmtId="0" fontId="19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center"/>
      <protection hidden="1"/>
    </xf>
    <xf numFmtId="0" fontId="19" fillId="0" borderId="55" xfId="0" applyFont="1" applyBorder="1" applyAlignment="1" applyProtection="1">
      <alignment horizontal="center" vertical="center"/>
      <protection hidden="1"/>
    </xf>
    <xf numFmtId="0" fontId="19" fillId="0" borderId="56" xfId="0" applyFont="1" applyBorder="1" applyAlignment="1" applyProtection="1">
      <alignment horizontal="center" vertical="center"/>
      <protection hidden="1"/>
    </xf>
    <xf numFmtId="0" fontId="19" fillId="0" borderId="51" xfId="0" applyFont="1" applyBorder="1" applyAlignment="1" applyProtection="1">
      <alignment horizontal="center" vertical="center" wrapText="1"/>
      <protection hidden="1"/>
    </xf>
    <xf numFmtId="0" fontId="19" fillId="0" borderId="52" xfId="0" applyFont="1" applyBorder="1" applyAlignment="1" applyProtection="1">
      <alignment horizontal="center" vertical="center" wrapText="1"/>
      <protection hidden="1"/>
    </xf>
    <xf numFmtId="0" fontId="19" fillId="0" borderId="51" xfId="0" applyFont="1" applyBorder="1" applyAlignment="1" applyProtection="1">
      <alignment horizontal="center" wrapText="1"/>
      <protection hidden="1"/>
    </xf>
    <xf numFmtId="0" fontId="19" fillId="0" borderId="52" xfId="0" applyFont="1" applyBorder="1" applyAlignment="1" applyProtection="1">
      <alignment horizontal="center" wrapText="1"/>
      <protection hidden="1"/>
    </xf>
    <xf numFmtId="0" fontId="28" fillId="0" borderId="0" xfId="5" applyFont="1" applyAlignment="1">
      <alignment horizontal="right"/>
    </xf>
    <xf numFmtId="0" fontId="28" fillId="0" borderId="0" xfId="1" applyFont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19" fillId="0" borderId="47" xfId="0" applyFont="1" applyBorder="1" applyAlignment="1" applyProtection="1">
      <alignment horizontal="center" vertical="center" wrapText="1"/>
      <protection hidden="1"/>
    </xf>
    <xf numFmtId="0" fontId="19" fillId="0" borderId="49" xfId="0" applyFont="1" applyBorder="1" applyAlignment="1" applyProtection="1">
      <alignment horizontal="center" vertical="center" wrapText="1"/>
      <protection hidden="1"/>
    </xf>
    <xf numFmtId="0" fontId="19" fillId="0" borderId="54" xfId="0" applyFont="1" applyBorder="1" applyAlignment="1" applyProtection="1">
      <alignment horizontal="center"/>
      <protection hidden="1"/>
    </xf>
    <xf numFmtId="0" fontId="19" fillId="0" borderId="57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right" vertical="center"/>
      <protection hidden="1"/>
    </xf>
    <xf numFmtId="0" fontId="19" fillId="0" borderId="14" xfId="0" applyFont="1" applyBorder="1" applyAlignment="1" applyProtection="1">
      <alignment horizontal="right" vertical="center"/>
      <protection hidden="1"/>
    </xf>
    <xf numFmtId="0" fontId="19" fillId="0" borderId="0" xfId="0" applyFont="1" applyAlignment="1" applyProtection="1">
      <alignment horizontal="center"/>
      <protection hidden="1"/>
    </xf>
    <xf numFmtId="3" fontId="19" fillId="0" borderId="0" xfId="0" applyNumberFormat="1" applyFont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locked="0"/>
    </xf>
    <xf numFmtId="0" fontId="19" fillId="0" borderId="21" xfId="0" applyFont="1" applyBorder="1" applyAlignment="1" applyProtection="1">
      <alignment horizontal="right"/>
      <protection hidden="1"/>
    </xf>
    <xf numFmtId="0" fontId="19" fillId="0" borderId="14" xfId="0" applyFont="1" applyBorder="1" applyAlignment="1" applyProtection="1">
      <alignment horizontal="right"/>
      <protection hidden="1"/>
    </xf>
    <xf numFmtId="0" fontId="19" fillId="0" borderId="48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locked="0" hidden="1"/>
    </xf>
    <xf numFmtId="0" fontId="19" fillId="0" borderId="0" xfId="0" quotePrefix="1" applyFont="1" applyAlignment="1" applyProtection="1">
      <alignment horizontal="left"/>
      <protection hidden="1"/>
    </xf>
    <xf numFmtId="0" fontId="18" fillId="0" borderId="21" xfId="0" applyFont="1" applyBorder="1" applyAlignment="1" applyProtection="1">
      <alignment horizontal="center" vertical="center"/>
      <protection hidden="1"/>
    </xf>
    <xf numFmtId="0" fontId="18" fillId="0" borderId="14" xfId="0" applyFont="1" applyBorder="1" applyAlignment="1" applyProtection="1">
      <alignment horizontal="center" vertical="center"/>
      <protection hidden="1"/>
    </xf>
    <xf numFmtId="0" fontId="18" fillId="0" borderId="33" xfId="0" applyFont="1" applyBorder="1" applyAlignment="1" applyProtection="1">
      <alignment horizontal="center" vertical="center"/>
      <protection hidden="1"/>
    </xf>
    <xf numFmtId="0" fontId="18" fillId="0" borderId="21" xfId="0" applyFont="1" applyBorder="1" applyAlignment="1" applyProtection="1">
      <alignment horizontal="center"/>
      <protection hidden="1"/>
    </xf>
    <xf numFmtId="0" fontId="18" fillId="0" borderId="14" xfId="0" applyFont="1" applyBorder="1" applyAlignment="1" applyProtection="1">
      <alignment horizontal="center"/>
      <protection hidden="1"/>
    </xf>
    <xf numFmtId="168" fontId="19" fillId="0" borderId="8" xfId="0" applyNumberFormat="1" applyFont="1" applyBorder="1" applyAlignment="1" applyProtection="1">
      <alignment horizontal="center" vertical="center"/>
      <protection locked="0" hidden="1"/>
    </xf>
    <xf numFmtId="168" fontId="19" fillId="0" borderId="9" xfId="0" applyNumberFormat="1" applyFont="1" applyBorder="1" applyAlignment="1" applyProtection="1">
      <alignment horizontal="center" vertical="center"/>
      <protection locked="0" hidden="1"/>
    </xf>
    <xf numFmtId="168" fontId="19" fillId="0" borderId="13" xfId="0" applyNumberFormat="1" applyFont="1" applyBorder="1" applyAlignment="1" applyProtection="1">
      <alignment horizontal="center" vertical="center"/>
      <protection locked="0" hidden="1"/>
    </xf>
    <xf numFmtId="0" fontId="18" fillId="0" borderId="0" xfId="0" applyFont="1" applyAlignment="1" applyProtection="1">
      <alignment horizontal="center" wrapText="1"/>
      <protection hidden="1"/>
    </xf>
    <xf numFmtId="0" fontId="18" fillId="0" borderId="1" xfId="0" applyFont="1" applyBorder="1" applyAlignment="1" applyProtection="1">
      <alignment horizontal="center" wrapText="1"/>
      <protection hidden="1"/>
    </xf>
    <xf numFmtId="168" fontId="19" fillId="0" borderId="8" xfId="0" applyNumberFormat="1" applyFont="1" applyBorder="1" applyAlignment="1" applyProtection="1">
      <alignment horizontal="center"/>
      <protection hidden="1"/>
    </xf>
    <xf numFmtId="168" fontId="19" fillId="0" borderId="9" xfId="0" applyNumberFormat="1" applyFont="1" applyBorder="1" applyAlignment="1" applyProtection="1">
      <alignment horizontal="center"/>
      <protection hidden="1"/>
    </xf>
    <xf numFmtId="168" fontId="19" fillId="0" borderId="13" xfId="0" applyNumberFormat="1" applyFont="1" applyBorder="1" applyAlignment="1" applyProtection="1">
      <alignment horizontal="center"/>
      <protection hidden="1"/>
    </xf>
    <xf numFmtId="0" fontId="19" fillId="0" borderId="51" xfId="0" applyFont="1" applyBorder="1" applyAlignment="1" applyProtection="1">
      <alignment horizontal="center" vertical="center"/>
      <protection hidden="1"/>
    </xf>
    <xf numFmtId="0" fontId="19" fillId="0" borderId="52" xfId="0" applyFont="1" applyBorder="1" applyAlignment="1" applyProtection="1">
      <alignment horizontal="center" vertical="center"/>
      <protection hidden="1"/>
    </xf>
    <xf numFmtId="0" fontId="19" fillId="0" borderId="62" xfId="0" applyFont="1" applyBorder="1" applyAlignment="1" applyProtection="1">
      <alignment horizontal="center"/>
      <protection hidden="1"/>
    </xf>
    <xf numFmtId="0" fontId="19" fillId="0" borderId="63" xfId="0" applyFont="1" applyBorder="1" applyAlignment="1" applyProtection="1">
      <alignment horizontal="center"/>
      <protection hidden="1"/>
    </xf>
    <xf numFmtId="0" fontId="23" fillId="0" borderId="2" xfId="0" applyFont="1" applyBorder="1" applyAlignment="1" applyProtection="1">
      <alignment horizontal="center"/>
      <protection hidden="1"/>
    </xf>
    <xf numFmtId="0" fontId="19" fillId="0" borderId="50" xfId="0" applyFont="1" applyBorder="1" applyAlignment="1" applyProtection="1">
      <alignment horizontal="center" vertical="center"/>
      <protection hidden="1"/>
    </xf>
    <xf numFmtId="0" fontId="19" fillId="0" borderId="20" xfId="0" applyFont="1" applyBorder="1" applyAlignment="1" applyProtection="1">
      <alignment horizontal="center" vertical="center"/>
      <protection hidden="1"/>
    </xf>
    <xf numFmtId="0" fontId="19" fillId="0" borderId="30" xfId="0" applyFont="1" applyBorder="1" applyAlignment="1" applyProtection="1">
      <alignment horizontal="center" vertical="center"/>
      <protection hidden="1"/>
    </xf>
    <xf numFmtId="0" fontId="19" fillId="0" borderId="16" xfId="0" applyFont="1" applyBorder="1" applyAlignment="1" applyProtection="1">
      <alignment horizontal="center" vertical="center"/>
      <protection hidden="1"/>
    </xf>
    <xf numFmtId="0" fontId="18" fillId="0" borderId="43" xfId="0" applyFont="1" applyBorder="1" applyAlignment="1" applyProtection="1">
      <alignment horizontal="center"/>
      <protection hidden="1"/>
    </xf>
    <xf numFmtId="14" fontId="19" fillId="0" borderId="0" xfId="0" applyNumberFormat="1" applyFont="1" applyAlignment="1" applyProtection="1">
      <alignment horizontal="left"/>
      <protection locked="0" hidden="1"/>
    </xf>
    <xf numFmtId="0" fontId="18" fillId="7" borderId="55" xfId="0" applyFont="1" applyFill="1" applyBorder="1" applyAlignment="1" applyProtection="1">
      <alignment horizontal="center" vertical="center"/>
      <protection hidden="1"/>
    </xf>
    <xf numFmtId="0" fontId="18" fillId="7" borderId="56" xfId="0" applyFont="1" applyFill="1" applyBorder="1" applyAlignment="1" applyProtection="1">
      <alignment horizontal="center" vertical="center"/>
      <protection hidden="1"/>
    </xf>
    <xf numFmtId="0" fontId="18" fillId="7" borderId="60" xfId="0" applyFont="1" applyFill="1" applyBorder="1" applyAlignment="1" applyProtection="1">
      <alignment horizontal="center" vertical="center"/>
      <protection hidden="1"/>
    </xf>
    <xf numFmtId="0" fontId="18" fillId="7" borderId="61" xfId="0" applyFont="1" applyFill="1" applyBorder="1" applyAlignment="1" applyProtection="1">
      <alignment horizontal="center" vertical="center"/>
      <protection hidden="1"/>
    </xf>
    <xf numFmtId="0" fontId="18" fillId="4" borderId="21" xfId="0" applyFont="1" applyFill="1" applyBorder="1" applyAlignment="1" applyProtection="1">
      <alignment horizontal="center"/>
      <protection hidden="1"/>
    </xf>
    <xf numFmtId="0" fontId="18" fillId="4" borderId="33" xfId="0" applyFont="1" applyFill="1" applyBorder="1" applyAlignment="1" applyProtection="1">
      <alignment horizontal="center"/>
      <protection hidden="1"/>
    </xf>
    <xf numFmtId="0" fontId="18" fillId="7" borderId="51" xfId="0" applyFont="1" applyFill="1" applyBorder="1" applyAlignment="1" applyProtection="1">
      <alignment horizontal="center" vertical="center"/>
      <protection hidden="1"/>
    </xf>
    <xf numFmtId="0" fontId="18" fillId="7" borderId="52" xfId="0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locked="0"/>
    </xf>
    <xf numFmtId="171" fontId="19" fillId="3" borderId="0" xfId="7" applyNumberFormat="1" applyFont="1" applyFill="1" applyAlignment="1" applyProtection="1">
      <alignment horizontal="right"/>
      <protection hidden="1"/>
    </xf>
    <xf numFmtId="0" fontId="18" fillId="7" borderId="72" xfId="0" applyFont="1" applyFill="1" applyBorder="1" applyAlignment="1" applyProtection="1">
      <alignment horizontal="center"/>
      <protection hidden="1"/>
    </xf>
    <xf numFmtId="0" fontId="18" fillId="7" borderId="73" xfId="0" applyFont="1" applyFill="1" applyBorder="1" applyAlignment="1" applyProtection="1">
      <alignment horizontal="center"/>
      <protection hidden="1"/>
    </xf>
    <xf numFmtId="0" fontId="18" fillId="7" borderId="31" xfId="0" applyFont="1" applyFill="1" applyBorder="1" applyAlignment="1" applyProtection="1">
      <alignment horizontal="center" vertical="center"/>
      <protection hidden="1"/>
    </xf>
    <xf numFmtId="0" fontId="18" fillId="7" borderId="30" xfId="0" applyFont="1" applyFill="1" applyBorder="1" applyAlignment="1" applyProtection="1">
      <alignment horizontal="center" vertical="center"/>
      <protection hidden="1"/>
    </xf>
    <xf numFmtId="0" fontId="26" fillId="7" borderId="51" xfId="0" applyFont="1" applyFill="1" applyBorder="1" applyAlignment="1" applyProtection="1">
      <alignment horizontal="center" vertical="center" wrapText="1"/>
      <protection hidden="1"/>
    </xf>
    <xf numFmtId="0" fontId="26" fillId="7" borderId="52" xfId="0" applyFont="1" applyFill="1" applyBorder="1" applyAlignment="1" applyProtection="1">
      <alignment horizontal="center" vertical="center" wrapText="1"/>
      <protection hidden="1"/>
    </xf>
    <xf numFmtId="0" fontId="26" fillId="7" borderId="40" xfId="0" applyFont="1" applyFill="1" applyBorder="1" applyAlignment="1" applyProtection="1">
      <alignment horizontal="center" vertical="center" wrapText="1"/>
      <protection hidden="1"/>
    </xf>
    <xf numFmtId="0" fontId="26" fillId="7" borderId="49" xfId="0" applyFont="1" applyFill="1" applyBorder="1" applyAlignment="1" applyProtection="1">
      <alignment horizontal="center" vertical="center" wrapText="1"/>
      <protection hidden="1"/>
    </xf>
    <xf numFmtId="0" fontId="18" fillId="7" borderId="28" xfId="0" applyFont="1" applyFill="1" applyBorder="1" applyAlignment="1" applyProtection="1">
      <alignment horizontal="center" vertical="center" wrapText="1"/>
      <protection hidden="1"/>
    </xf>
    <xf numFmtId="0" fontId="18" fillId="7" borderId="53" xfId="0" applyFont="1" applyFill="1" applyBorder="1" applyAlignment="1" applyProtection="1">
      <alignment horizontal="center" vertical="center" wrapText="1"/>
      <protection hidden="1"/>
    </xf>
    <xf numFmtId="0" fontId="30" fillId="7" borderId="54" xfId="0" applyFont="1" applyFill="1" applyBorder="1" applyAlignment="1" applyProtection="1">
      <alignment horizontal="center" vertical="center" wrapText="1"/>
      <protection hidden="1"/>
    </xf>
    <xf numFmtId="0" fontId="30" fillId="7" borderId="27" xfId="0" applyFont="1" applyFill="1" applyBorder="1" applyAlignment="1" applyProtection="1">
      <alignment horizontal="center" vertical="center" wrapText="1"/>
      <protection hidden="1"/>
    </xf>
    <xf numFmtId="0" fontId="18" fillId="7" borderId="57" xfId="0" applyFont="1" applyFill="1" applyBorder="1" applyAlignment="1" applyProtection="1">
      <alignment horizontal="center" vertical="center" wrapText="1"/>
      <protection hidden="1"/>
    </xf>
    <xf numFmtId="0" fontId="18" fillId="7" borderId="58" xfId="0" applyFont="1" applyFill="1" applyBorder="1" applyAlignment="1" applyProtection="1">
      <alignment horizontal="center" vertical="center" wrapText="1"/>
      <protection hidden="1"/>
    </xf>
    <xf numFmtId="0" fontId="18" fillId="7" borderId="51" xfId="0" applyFont="1" applyFill="1" applyBorder="1" applyAlignment="1" applyProtection="1">
      <alignment horizontal="center" vertical="center" wrapText="1"/>
      <protection hidden="1"/>
    </xf>
    <xf numFmtId="0" fontId="18" fillId="7" borderId="52" xfId="0" applyFont="1" applyFill="1" applyBorder="1" applyAlignment="1" applyProtection="1">
      <alignment horizontal="center" vertical="center" wrapText="1"/>
      <protection hidden="1"/>
    </xf>
    <xf numFmtId="0" fontId="30" fillId="7" borderId="51" xfId="0" applyFont="1" applyFill="1" applyBorder="1" applyAlignment="1" applyProtection="1">
      <alignment horizontal="center" vertical="center" wrapText="1"/>
      <protection hidden="1"/>
    </xf>
    <xf numFmtId="0" fontId="30" fillId="7" borderId="52" xfId="0" applyFont="1" applyFill="1" applyBorder="1" applyAlignment="1" applyProtection="1">
      <alignment horizontal="center" vertical="center" wrapText="1"/>
      <protection hidden="1"/>
    </xf>
    <xf numFmtId="0" fontId="19" fillId="0" borderId="14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/>
      <protection hidden="1"/>
    </xf>
    <xf numFmtId="0" fontId="19" fillId="0" borderId="33" xfId="0" applyFont="1" applyBorder="1" applyAlignment="1" applyProtection="1">
      <alignment horizontal="center"/>
      <protection hidden="1"/>
    </xf>
    <xf numFmtId="0" fontId="19" fillId="7" borderId="21" xfId="0" applyFont="1" applyFill="1" applyBorder="1" applyAlignment="1" applyProtection="1">
      <alignment horizontal="center"/>
      <protection hidden="1"/>
    </xf>
    <xf numFmtId="0" fontId="19" fillId="7" borderId="14" xfId="0" applyFont="1" applyFill="1" applyBorder="1" applyAlignment="1" applyProtection="1">
      <alignment horizontal="center"/>
      <protection hidden="1"/>
    </xf>
    <xf numFmtId="0" fontId="19" fillId="7" borderId="33" xfId="0" applyFont="1" applyFill="1" applyBorder="1" applyAlignment="1" applyProtection="1">
      <alignment horizontal="center"/>
      <protection hidden="1"/>
    </xf>
    <xf numFmtId="0" fontId="26" fillId="7" borderId="29" xfId="0" applyFont="1" applyFill="1" applyBorder="1" applyAlignment="1" applyProtection="1">
      <alignment horizontal="center" vertical="center" wrapText="1"/>
      <protection hidden="1"/>
    </xf>
    <xf numFmtId="0" fontId="26" fillId="7" borderId="34" xfId="0" applyFont="1" applyFill="1" applyBorder="1" applyAlignment="1" applyProtection="1">
      <alignment horizontal="center" vertical="center" wrapText="1"/>
      <protection hidden="1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3" xfId="0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8" fillId="7" borderId="50" xfId="0" applyFont="1" applyFill="1" applyBorder="1" applyAlignment="1" applyProtection="1">
      <alignment horizontal="center" vertical="center"/>
      <protection hidden="1"/>
    </xf>
    <xf numFmtId="0" fontId="18" fillId="7" borderId="20" xfId="0" applyFont="1" applyFill="1" applyBorder="1" applyAlignment="1" applyProtection="1">
      <alignment horizontal="center" vertical="center"/>
      <protection hidden="1"/>
    </xf>
    <xf numFmtId="0" fontId="18" fillId="7" borderId="16" xfId="0" applyFont="1" applyFill="1" applyBorder="1" applyAlignment="1" applyProtection="1">
      <alignment horizontal="center" vertical="center"/>
      <protection hidden="1"/>
    </xf>
    <xf numFmtId="0" fontId="18" fillId="7" borderId="7" xfId="0" applyFont="1" applyFill="1" applyBorder="1" applyAlignment="1" applyProtection="1">
      <alignment horizontal="center" vertical="center" wrapText="1"/>
      <protection hidden="1"/>
    </xf>
    <xf numFmtId="0" fontId="18" fillId="7" borderId="59" xfId="0" applyFont="1" applyFill="1" applyBorder="1" applyAlignment="1" applyProtection="1">
      <alignment horizontal="center" vertical="center" wrapText="1"/>
      <protection hidden="1"/>
    </xf>
    <xf numFmtId="0" fontId="19" fillId="0" borderId="2" xfId="0" applyFont="1" applyBorder="1" applyAlignment="1" applyProtection="1">
      <alignment horizontal="center"/>
      <protection hidden="1"/>
    </xf>
    <xf numFmtId="0" fontId="18" fillId="7" borderId="4" xfId="0" applyFont="1" applyFill="1" applyBorder="1" applyAlignment="1" applyProtection="1">
      <alignment horizontal="center" vertical="center" wrapText="1"/>
      <protection hidden="1"/>
    </xf>
    <xf numFmtId="0" fontId="18" fillId="7" borderId="76" xfId="0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Alignment="1">
      <alignment horizontal="center" vertical="center"/>
    </xf>
    <xf numFmtId="0" fontId="18" fillId="7" borderId="47" xfId="0" applyFont="1" applyFill="1" applyBorder="1" applyAlignment="1" applyProtection="1">
      <alignment horizontal="center" wrapText="1"/>
      <protection hidden="1"/>
    </xf>
    <xf numFmtId="0" fontId="18" fillId="7" borderId="49" xfId="0" applyFont="1" applyFill="1" applyBorder="1" applyAlignment="1" applyProtection="1">
      <alignment horizontal="center" wrapText="1"/>
      <protection hidden="1"/>
    </xf>
    <xf numFmtId="0" fontId="18" fillId="7" borderId="47" xfId="0" applyFont="1" applyFill="1" applyBorder="1" applyAlignment="1" applyProtection="1">
      <alignment horizontal="center" vertical="center" wrapText="1"/>
      <protection hidden="1"/>
    </xf>
    <xf numFmtId="0" fontId="18" fillId="7" borderId="49" xfId="0" applyFont="1" applyFill="1" applyBorder="1" applyAlignment="1" applyProtection="1">
      <alignment horizontal="center" vertical="center" wrapText="1"/>
      <protection hidden="1"/>
    </xf>
    <xf numFmtId="0" fontId="30" fillId="5" borderId="9" xfId="0" applyFont="1" applyFill="1" applyBorder="1" applyAlignment="1" applyProtection="1">
      <alignment horizontal="center" vertical="center"/>
      <protection hidden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left"/>
      <protection locked="0"/>
    </xf>
    <xf numFmtId="0" fontId="19" fillId="0" borderId="9" xfId="0" applyFont="1" applyBorder="1" applyAlignment="1" applyProtection="1">
      <alignment horizontal="left"/>
      <protection locked="0"/>
    </xf>
    <xf numFmtId="0" fontId="19" fillId="0" borderId="13" xfId="0" applyFont="1" applyBorder="1" applyAlignment="1" applyProtection="1">
      <alignment horizontal="left"/>
      <protection locked="0"/>
    </xf>
    <xf numFmtId="0" fontId="19" fillId="0" borderId="13" xfId="0" applyFont="1" applyBorder="1" applyAlignment="1">
      <alignment horizontal="left" vertical="center"/>
    </xf>
    <xf numFmtId="0" fontId="33" fillId="0" borderId="0" xfId="0" applyFont="1" applyAlignment="1" applyProtection="1">
      <alignment horizontal="center"/>
      <protection locked="0"/>
    </xf>
    <xf numFmtId="0" fontId="18" fillId="5" borderId="10" xfId="0" applyFont="1" applyFill="1" applyBorder="1" applyAlignment="1" applyProtection="1">
      <alignment horizontal="center"/>
      <protection locked="0"/>
    </xf>
    <xf numFmtId="0" fontId="18" fillId="5" borderId="8" xfId="0" applyFont="1" applyFill="1" applyBorder="1" applyAlignment="1" applyProtection="1">
      <alignment horizontal="center"/>
      <protection locked="0"/>
    </xf>
    <xf numFmtId="0" fontId="18" fillId="5" borderId="13" xfId="0" applyFont="1" applyFill="1" applyBorder="1" applyAlignment="1" applyProtection="1">
      <alignment horizontal="center"/>
      <protection locked="0"/>
    </xf>
    <xf numFmtId="0" fontId="19" fillId="0" borderId="19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0" xfId="0" applyFont="1" applyAlignment="1" applyProtection="1">
      <alignment horizontal="center"/>
      <protection locked="0"/>
    </xf>
    <xf numFmtId="0" fontId="34" fillId="0" borderId="0" xfId="0" applyFont="1" applyAlignment="1" applyProtection="1">
      <alignment horizontal="left"/>
      <protection locked="0"/>
    </xf>
    <xf numFmtId="0" fontId="18" fillId="0" borderId="67" xfId="0" applyFont="1" applyBorder="1" applyAlignment="1" applyProtection="1">
      <alignment horizontal="center"/>
      <protection hidden="1"/>
    </xf>
    <xf numFmtId="0" fontId="18" fillId="0" borderId="71" xfId="0" applyFont="1" applyBorder="1" applyAlignment="1" applyProtection="1">
      <alignment horizontal="center"/>
      <protection hidden="1"/>
    </xf>
    <xf numFmtId="0" fontId="18" fillId="0" borderId="65" xfId="0" applyFont="1" applyBorder="1" applyAlignment="1" applyProtection="1">
      <alignment horizontal="center"/>
      <protection hidden="1"/>
    </xf>
    <xf numFmtId="0" fontId="18" fillId="0" borderId="9" xfId="0" applyFont="1" applyBorder="1" applyAlignment="1" applyProtection="1">
      <alignment horizontal="center"/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18" fillId="0" borderId="48" xfId="0" applyFont="1" applyBorder="1" applyAlignment="1" applyProtection="1">
      <alignment horizontal="center"/>
      <protection hidden="1"/>
    </xf>
    <xf numFmtId="0" fontId="19" fillId="0" borderId="50" xfId="0" applyFont="1" applyBorder="1" applyAlignment="1" applyProtection="1">
      <alignment horizontal="center"/>
      <protection hidden="1"/>
    </xf>
    <xf numFmtId="0" fontId="19" fillId="0" borderId="30" xfId="0" applyFont="1" applyBorder="1" applyAlignment="1" applyProtection="1">
      <alignment horizontal="center"/>
      <protection hidden="1"/>
    </xf>
    <xf numFmtId="0" fontId="19" fillId="0" borderId="67" xfId="0" applyFont="1" applyBorder="1" applyAlignment="1" applyProtection="1">
      <alignment horizontal="center"/>
      <protection locked="0"/>
    </xf>
    <xf numFmtId="0" fontId="19" fillId="0" borderId="68" xfId="0" applyFont="1" applyBorder="1" applyAlignment="1" applyProtection="1">
      <alignment horizontal="center"/>
      <protection locked="0"/>
    </xf>
    <xf numFmtId="49" fontId="19" fillId="0" borderId="9" xfId="0" applyNumberFormat="1" applyFont="1" applyBorder="1" applyAlignment="1" applyProtection="1">
      <alignment horizontal="center"/>
      <protection locked="0"/>
    </xf>
    <xf numFmtId="49" fontId="19" fillId="0" borderId="38" xfId="0" applyNumberFormat="1" applyFont="1" applyBorder="1" applyAlignment="1" applyProtection="1">
      <alignment horizontal="center"/>
      <protection locked="0"/>
    </xf>
    <xf numFmtId="0" fontId="19" fillId="0" borderId="69" xfId="0" applyFont="1" applyBorder="1" applyAlignment="1" applyProtection="1">
      <alignment horizontal="center"/>
      <protection locked="0"/>
    </xf>
    <xf numFmtId="0" fontId="19" fillId="0" borderId="70" xfId="0" applyFont="1" applyBorder="1" applyAlignment="1" applyProtection="1">
      <alignment horizont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/>
      <protection locked="0"/>
    </xf>
    <xf numFmtId="0" fontId="19" fillId="0" borderId="63" xfId="0" applyFont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/>
      <protection hidden="1"/>
    </xf>
    <xf numFmtId="0" fontId="18" fillId="0" borderId="77" xfId="0" applyFont="1" applyBorder="1" applyAlignment="1" applyProtection="1">
      <alignment horizontal="center"/>
      <protection hidden="1"/>
    </xf>
    <xf numFmtId="0" fontId="18" fillId="0" borderId="78" xfId="0" applyFont="1" applyBorder="1" applyAlignment="1" applyProtection="1">
      <alignment horizontal="center"/>
      <protection hidden="1"/>
    </xf>
    <xf numFmtId="0" fontId="18" fillId="0" borderId="79" xfId="0" applyFont="1" applyBorder="1" applyAlignment="1" applyProtection="1">
      <alignment horizontal="center"/>
      <protection hidden="1"/>
    </xf>
    <xf numFmtId="0" fontId="18" fillId="0" borderId="21" xfId="0" applyFont="1" applyBorder="1" applyAlignment="1" applyProtection="1">
      <alignment horizontal="center"/>
      <protection locked="0"/>
    </xf>
    <xf numFmtId="0" fontId="18" fillId="0" borderId="66" xfId="0" applyFont="1" applyBorder="1" applyAlignment="1" applyProtection="1">
      <alignment horizontal="center"/>
      <protection hidden="1"/>
    </xf>
    <xf numFmtId="0" fontId="18" fillId="0" borderId="37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65" xfId="0" applyFont="1" applyBorder="1" applyAlignment="1" applyProtection="1">
      <alignment horizontal="center"/>
      <protection locked="0"/>
    </xf>
    <xf numFmtId="0" fontId="19" fillId="0" borderId="38" xfId="0" applyFont="1" applyBorder="1" applyAlignment="1" applyProtection="1">
      <alignment horizontal="center"/>
      <protection locked="0"/>
    </xf>
    <xf numFmtId="0" fontId="18" fillId="0" borderId="80" xfId="0" applyFont="1" applyBorder="1" applyAlignment="1" applyProtection="1">
      <alignment horizontal="center"/>
      <protection hidden="1"/>
    </xf>
    <xf numFmtId="0" fontId="18" fillId="0" borderId="81" xfId="0" applyFont="1" applyBorder="1" applyAlignment="1" applyProtection="1">
      <alignment horizontal="center"/>
      <protection hidden="1"/>
    </xf>
    <xf numFmtId="49" fontId="18" fillId="0" borderId="64" xfId="0" applyNumberFormat="1" applyFont="1" applyBorder="1" applyAlignment="1" applyProtection="1">
      <alignment horizontal="center"/>
      <protection hidden="1"/>
    </xf>
    <xf numFmtId="49" fontId="18" fillId="0" borderId="1" xfId="0" applyNumberFormat="1" applyFont="1" applyBorder="1" applyAlignment="1" applyProtection="1">
      <alignment horizontal="center"/>
      <protection hidden="1"/>
    </xf>
    <xf numFmtId="49" fontId="18" fillId="0" borderId="65" xfId="0" applyNumberFormat="1" applyFont="1" applyBorder="1" applyAlignment="1" applyProtection="1">
      <alignment horizontal="center"/>
      <protection hidden="1"/>
    </xf>
    <xf numFmtId="49" fontId="18" fillId="0" borderId="9" xfId="0" applyNumberFormat="1" applyFont="1" applyBorder="1" applyAlignment="1" applyProtection="1">
      <alignment horizontal="center"/>
      <protection hidden="1"/>
    </xf>
    <xf numFmtId="49" fontId="19" fillId="0" borderId="1" xfId="0" quotePrefix="1" applyNumberFormat="1" applyFont="1" applyBorder="1" applyAlignment="1" applyProtection="1">
      <alignment horizontal="center"/>
      <protection locked="0"/>
    </xf>
    <xf numFmtId="49" fontId="19" fillId="0" borderId="41" xfId="0" quotePrefix="1" applyNumberFormat="1" applyFont="1" applyBorder="1" applyAlignment="1" applyProtection="1">
      <alignment horizontal="center"/>
      <protection locked="0"/>
    </xf>
    <xf numFmtId="49" fontId="19" fillId="0" borderId="64" xfId="0" quotePrefix="1" applyNumberFormat="1" applyFont="1" applyBorder="1" applyAlignment="1" applyProtection="1">
      <alignment horizontal="center"/>
      <protection locked="0"/>
    </xf>
    <xf numFmtId="49" fontId="19" fillId="0" borderId="65" xfId="0" applyNumberFormat="1" applyFont="1" applyBorder="1" applyAlignment="1" applyProtection="1">
      <alignment horizontal="center"/>
      <protection locked="0"/>
    </xf>
    <xf numFmtId="0" fontId="19" fillId="0" borderId="71" xfId="0" applyFont="1" applyBorder="1" applyAlignment="1" applyProtection="1">
      <alignment horizontal="center"/>
      <protection hidden="1"/>
    </xf>
    <xf numFmtId="0" fontId="19" fillId="0" borderId="68" xfId="0" applyFont="1" applyBorder="1" applyAlignment="1" applyProtection="1">
      <alignment horizontal="center"/>
      <protection hidden="1"/>
    </xf>
    <xf numFmtId="0" fontId="19" fillId="0" borderId="67" xfId="0" applyFont="1" applyBorder="1" applyAlignment="1" applyProtection="1">
      <alignment horizontal="center"/>
      <protection hidden="1"/>
    </xf>
  </cellXfs>
  <cellStyles count="8">
    <cellStyle name="Hiperlink" xfId="1" builtinId="8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Separador de milhares 2" xfId="6" xr:uid="{00000000-0005-0000-0000-000007000000}"/>
    <cellStyle name="Vírgula" xfId="7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</xdr:rowOff>
    </xdr:from>
    <xdr:to>
      <xdr:col>19</xdr:col>
      <xdr:colOff>38100</xdr:colOff>
      <xdr:row>16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25CABE-99B6-44C3-A120-298F4EDDB3EC}"/>
            </a:ext>
          </a:extLst>
        </xdr:cNvPr>
        <xdr:cNvSpPr txBox="1"/>
      </xdr:nvSpPr>
      <xdr:spPr>
        <a:xfrm>
          <a:off x="0" y="1990725"/>
          <a:ext cx="84486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did attend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afore mentioned vessel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ascertain the quantities of bunkering supplied and to compare it with vessel´s and barge records in order to make sure about the quantities received.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100"/>
        </a:p>
      </xdr:txBody>
    </xdr:sp>
    <xdr:clientData/>
  </xdr:twoCellAnchor>
  <xdr:twoCellAnchor editAs="oneCell">
    <xdr:from>
      <xdr:col>0</xdr:col>
      <xdr:colOff>190500</xdr:colOff>
      <xdr:row>1</xdr:row>
      <xdr:rowOff>15241</xdr:rowOff>
    </xdr:from>
    <xdr:to>
      <xdr:col>3</xdr:col>
      <xdr:colOff>224790</xdr:colOff>
      <xdr:row>3</xdr:row>
      <xdr:rowOff>129541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F44AD9-B923-4991-94F4-038646E1B4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7166"/>
          <a:ext cx="1863090" cy="434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</xdr:colOff>
      <xdr:row>1</xdr:row>
      <xdr:rowOff>55245</xdr:rowOff>
    </xdr:from>
    <xdr:to>
      <xdr:col>4</xdr:col>
      <xdr:colOff>268605</xdr:colOff>
      <xdr:row>4</xdr:row>
      <xdr:rowOff>1905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EDAD9A-5F2A-4E2E-AEEE-4FCB0FB753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17170"/>
          <a:ext cx="1857375" cy="4324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47625</xdr:rowOff>
    </xdr:from>
    <xdr:to>
      <xdr:col>2</xdr:col>
      <xdr:colOff>706755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0F0B3D-8B8C-40C6-BB7A-0162CA988C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9075"/>
          <a:ext cx="1866900" cy="434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57150</xdr:rowOff>
    </xdr:from>
    <xdr:to>
      <xdr:col>2</xdr:col>
      <xdr:colOff>741045</xdr:colOff>
      <xdr:row>3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7B882-6EA6-4506-91C1-1E260B9D94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28600"/>
          <a:ext cx="1864995" cy="434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36</xdr:row>
      <xdr:rowOff>66675</xdr:rowOff>
    </xdr:from>
    <xdr:to>
      <xdr:col>8</xdr:col>
      <xdr:colOff>1463692</xdr:colOff>
      <xdr:row>43</xdr:row>
      <xdr:rowOff>57150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AAD85070-EF8A-4153-BB84-A1DF301C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6705600"/>
          <a:ext cx="1286527" cy="13201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95250</xdr:rowOff>
    </xdr:from>
    <xdr:to>
      <xdr:col>3</xdr:col>
      <xdr:colOff>135255</xdr:colOff>
      <xdr:row>3</xdr:row>
      <xdr:rowOff>131445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750032-9C1B-4E4E-A7D7-F3DBB7172B8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"/>
          <a:ext cx="1859280" cy="43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showGridLines="0" view="pageLayout" topLeftCell="A14" zoomScaleNormal="100" zoomScaleSheetLayoutView="100" workbookViewId="0">
      <selection activeCell="J46" sqref="J46"/>
    </sheetView>
  </sheetViews>
  <sheetFormatPr defaultColWidth="9.1328125" defaultRowHeight="13.15"/>
  <cols>
    <col min="1" max="1" width="10" style="26" customWidth="1"/>
    <col min="2" max="2" width="8.59765625" style="26" customWidth="1"/>
    <col min="3" max="3" width="8.1328125" style="26" customWidth="1"/>
    <col min="4" max="4" width="8.3984375" style="26" customWidth="1"/>
    <col min="5" max="5" width="10.3984375" style="26" customWidth="1"/>
    <col min="6" max="6" width="7.3984375" style="26" customWidth="1"/>
    <col min="7" max="7" width="10.59765625" style="26" customWidth="1"/>
    <col min="8" max="8" width="9.86328125" style="26" bestFit="1" customWidth="1"/>
    <col min="9" max="9" width="9.1328125" style="26"/>
    <col min="10" max="10" width="10.73046875" style="26" customWidth="1"/>
    <col min="11" max="11" width="13.59765625" style="26" customWidth="1"/>
    <col min="12" max="12" width="10.265625" style="26" customWidth="1"/>
    <col min="13" max="13" width="9.73046875" style="26" customWidth="1"/>
    <col min="14" max="17" width="9.1328125" style="26" hidden="1" customWidth="1"/>
    <col min="18" max="18" width="12" style="26" hidden="1" customWidth="1"/>
    <col min="19" max="19" width="6.3984375" style="26" hidden="1" customWidth="1"/>
    <col min="20" max="20" width="6.59765625" style="26" customWidth="1"/>
    <col min="21" max="16384" width="9.1328125" style="26"/>
  </cols>
  <sheetData>
    <row r="1" spans="1:20" ht="12.75" customHeight="1"/>
    <row r="2" spans="1:20" ht="12.75" customHeight="1">
      <c r="G2" s="273" t="s">
        <v>0</v>
      </c>
      <c r="H2" s="273"/>
      <c r="I2" s="273"/>
      <c r="J2" s="273"/>
      <c r="K2" s="273"/>
      <c r="L2" s="273"/>
      <c r="M2" s="273"/>
    </row>
    <row r="3" spans="1:20" ht="12.75" customHeight="1">
      <c r="G3" s="282" t="s">
        <v>1</v>
      </c>
      <c r="H3" s="282"/>
      <c r="I3" s="282"/>
      <c r="J3" s="282"/>
      <c r="K3" s="282"/>
      <c r="L3" s="282"/>
      <c r="M3" s="282"/>
    </row>
    <row r="4" spans="1:20" ht="12.75" customHeight="1">
      <c r="G4" s="283" t="s">
        <v>2</v>
      </c>
      <c r="H4" s="283"/>
      <c r="I4" s="283"/>
      <c r="J4" s="283"/>
      <c r="K4" s="283"/>
      <c r="L4" s="283"/>
      <c r="M4" s="283"/>
    </row>
    <row r="5" spans="1:20">
      <c r="A5" s="25"/>
      <c r="B5" s="25"/>
      <c r="C5" s="25"/>
      <c r="D5" s="25"/>
      <c r="E5" s="25"/>
      <c r="F5" s="25"/>
      <c r="G5" s="284"/>
      <c r="H5" s="284"/>
      <c r="I5" s="284"/>
      <c r="J5" s="284"/>
      <c r="K5" s="284"/>
      <c r="L5" s="32"/>
      <c r="M5" s="32"/>
      <c r="T5" s="40"/>
    </row>
    <row r="6" spans="1:20" ht="12.75" customHeight="1">
      <c r="A6" s="275" t="s">
        <v>3</v>
      </c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41"/>
      <c r="M6" s="41"/>
    </row>
    <row r="8" spans="1:20">
      <c r="A8" s="26" t="s">
        <v>4</v>
      </c>
      <c r="C8" s="274" t="s">
        <v>149</v>
      </c>
      <c r="D8" s="274"/>
      <c r="G8" s="26" t="s">
        <v>5</v>
      </c>
      <c r="I8" s="274" t="s">
        <v>6</v>
      </c>
      <c r="J8" s="274"/>
      <c r="K8" s="274"/>
      <c r="L8" s="33"/>
      <c r="M8" s="33"/>
    </row>
    <row r="9" spans="1:20">
      <c r="G9" s="26" t="s">
        <v>7</v>
      </c>
      <c r="I9" s="274" t="s">
        <v>151</v>
      </c>
      <c r="J9" s="274"/>
      <c r="K9" s="274"/>
      <c r="L9" s="33"/>
      <c r="M9" s="33"/>
    </row>
    <row r="10" spans="1:20">
      <c r="A10" s="26" t="s">
        <v>8</v>
      </c>
      <c r="C10" s="332" t="s">
        <v>150</v>
      </c>
      <c r="D10" s="332"/>
      <c r="G10" s="26" t="s">
        <v>9</v>
      </c>
      <c r="I10" s="274" t="s">
        <v>152</v>
      </c>
      <c r="J10" s="274"/>
      <c r="K10" s="274"/>
      <c r="L10" s="33"/>
      <c r="M10" s="33"/>
    </row>
    <row r="11" spans="1:20">
      <c r="C11" s="274"/>
      <c r="D11" s="274"/>
      <c r="G11" s="26" t="s">
        <v>10</v>
      </c>
      <c r="I11" s="274" t="s">
        <v>177</v>
      </c>
      <c r="J11" s="274"/>
      <c r="K11" s="274"/>
      <c r="L11" s="33"/>
      <c r="M11" s="33"/>
    </row>
    <row r="12" spans="1:20">
      <c r="L12" s="33"/>
      <c r="M12" s="33"/>
    </row>
    <row r="17" spans="1:22" ht="13.5" thickBot="1">
      <c r="A17" s="25" t="s">
        <v>11</v>
      </c>
    </row>
    <row r="18" spans="1:22" ht="13.5" thickBot="1">
      <c r="A18" s="179" t="s">
        <v>12</v>
      </c>
      <c r="B18" s="226">
        <v>2.8</v>
      </c>
      <c r="C18" s="97" t="s">
        <v>13</v>
      </c>
      <c r="D18" s="106" t="s">
        <v>14</v>
      </c>
      <c r="E18" s="227">
        <v>6.48</v>
      </c>
      <c r="F18" s="228" t="s">
        <v>13</v>
      </c>
      <c r="G18" s="225" t="s">
        <v>15</v>
      </c>
      <c r="H18" s="229">
        <v>0</v>
      </c>
      <c r="I18" s="180" t="s">
        <v>16</v>
      </c>
      <c r="J18" s="181"/>
      <c r="K18" s="182" t="s">
        <v>17</v>
      </c>
      <c r="L18" s="328" t="s">
        <v>18</v>
      </c>
      <c r="M18" s="329"/>
    </row>
    <row r="19" spans="1:22">
      <c r="A19" s="324" t="s">
        <v>19</v>
      </c>
      <c r="B19" s="330" t="s">
        <v>20</v>
      </c>
      <c r="C19" s="338" t="s">
        <v>21</v>
      </c>
      <c r="D19" s="350" t="s">
        <v>22</v>
      </c>
      <c r="E19" s="340" t="s">
        <v>23</v>
      </c>
      <c r="F19" s="336" t="s">
        <v>24</v>
      </c>
      <c r="G19" s="337"/>
      <c r="H19" s="342" t="s">
        <v>25</v>
      </c>
      <c r="I19" s="346" t="s">
        <v>26</v>
      </c>
      <c r="J19" s="359" t="s">
        <v>27</v>
      </c>
      <c r="K19" s="344" t="s">
        <v>28</v>
      </c>
      <c r="L19" s="324" t="s">
        <v>29</v>
      </c>
      <c r="M19" s="326" t="s">
        <v>30</v>
      </c>
    </row>
    <row r="20" spans="1:22" ht="13.5" customHeight="1" thickBot="1">
      <c r="A20" s="325"/>
      <c r="B20" s="331"/>
      <c r="C20" s="339"/>
      <c r="D20" s="351"/>
      <c r="E20" s="341"/>
      <c r="F20" s="183" t="s">
        <v>31</v>
      </c>
      <c r="G20" s="184" t="s">
        <v>32</v>
      </c>
      <c r="H20" s="343"/>
      <c r="I20" s="347"/>
      <c r="J20" s="360"/>
      <c r="K20" s="345"/>
      <c r="L20" s="325"/>
      <c r="M20" s="327"/>
    </row>
    <row r="21" spans="1:22">
      <c r="A21" s="230" t="s">
        <v>153</v>
      </c>
      <c r="B21" s="231" t="s">
        <v>6</v>
      </c>
      <c r="C21" s="232" t="s">
        <v>161</v>
      </c>
      <c r="D21" s="236">
        <v>37</v>
      </c>
      <c r="E21" s="186">
        <v>3.9420000000000002</v>
      </c>
      <c r="F21" s="173" t="s">
        <v>33</v>
      </c>
      <c r="G21" s="152">
        <v>0</v>
      </c>
      <c r="H21" s="174">
        <f t="shared" ref="H21:H32" si="0">IF(E21="","",E21-G21)</f>
        <v>3.9420000000000002</v>
      </c>
      <c r="I21" s="175">
        <f t="shared" ref="I21:I32" si="1">IF(E21="","",S21)</f>
        <v>0.98450000000000004</v>
      </c>
      <c r="J21" s="238">
        <v>0.97050000000000003</v>
      </c>
      <c r="K21" s="176">
        <f>IF(E21="","",H21*I21)</f>
        <v>3.8808990000000003</v>
      </c>
      <c r="L21" s="177">
        <f t="shared" ref="L21:L32" si="2">IF(A21="","",ROUND(SUM(K21*J21),3))</f>
        <v>3.766</v>
      </c>
      <c r="M21" s="178">
        <f>(J21-0.0011)*K21</f>
        <v>3.7621434906000006</v>
      </c>
      <c r="N21" s="43">
        <f t="shared" ref="N21:N32" si="3">D21-15</f>
        <v>22</v>
      </c>
      <c r="O21" s="26">
        <f t="shared" ref="O21:O32" si="4">J21*1000</f>
        <v>970.5</v>
      </c>
      <c r="P21" s="26">
        <f t="shared" ref="P21:P32" si="5">IF(J21&gt;0.8385,186.9696,IF(J21&gt;0.7875,594.5418,IF(J21&gt;0.77,2680.3206,346.4228)))</f>
        <v>186.96960000000001</v>
      </c>
      <c r="Q21" s="26">
        <f t="shared" ref="Q21:Q32" si="6">IF(J21&gt;0.8385,0.4862,IF(J21&gt;0.7875,0,IF(J21&gt;0.77,-0.00336312,0.4388)))</f>
        <v>0.48620000000000002</v>
      </c>
      <c r="R21" s="26">
        <f t="shared" ref="R21:R32" si="7">IF(OR(J21&gt;0.7876,J21=0.7876),(P21/O21^2)+(Q21/O21),IF(OR(J21&gt;0.7701,J21=0.7701),(P21/O21^2)+Q21,(P21/O21^2)+(Q21/O21)))</f>
        <v>6.9948774791432264E-4</v>
      </c>
      <c r="S21" s="44">
        <f t="shared" ref="S21:S32" si="8">ROUND(EXP(-R21*N21*(1+0.8*R21*N21)),4)</f>
        <v>0.98450000000000004</v>
      </c>
      <c r="V21" s="64"/>
    </row>
    <row r="22" spans="1:22">
      <c r="A22" s="233" t="s">
        <v>154</v>
      </c>
      <c r="B22" s="234" t="s">
        <v>6</v>
      </c>
      <c r="C22" s="235" t="s">
        <v>159</v>
      </c>
      <c r="D22" s="237">
        <v>43</v>
      </c>
      <c r="E22" s="88">
        <v>141.33600000000001</v>
      </c>
      <c r="F22" s="89" t="s">
        <v>33</v>
      </c>
      <c r="G22" s="98">
        <v>0</v>
      </c>
      <c r="H22" s="102">
        <f t="shared" si="0"/>
        <v>141.33600000000001</v>
      </c>
      <c r="I22" s="100">
        <f t="shared" si="1"/>
        <v>0.97909999999999997</v>
      </c>
      <c r="J22" s="239">
        <v>0.92869999999999997</v>
      </c>
      <c r="K22" s="63">
        <f t="shared" ref="K22:K32" si="9">IF(E22="","",H22*I22)</f>
        <v>138.3820776</v>
      </c>
      <c r="L22" s="94">
        <f t="shared" si="2"/>
        <v>128.51499999999999</v>
      </c>
      <c r="M22" s="90">
        <f t="shared" ref="M22:M32" si="10">(J22-0.0011)*K22</f>
        <v>128.36321518176001</v>
      </c>
      <c r="N22" s="43">
        <f t="shared" si="3"/>
        <v>28</v>
      </c>
      <c r="O22" s="26">
        <f t="shared" si="4"/>
        <v>928.69999999999993</v>
      </c>
      <c r="P22" s="26">
        <f t="shared" si="5"/>
        <v>186.96960000000001</v>
      </c>
      <c r="Q22" s="26">
        <f t="shared" si="6"/>
        <v>0.48620000000000002</v>
      </c>
      <c r="R22" s="26">
        <f t="shared" si="7"/>
        <v>7.4030795875108097E-4</v>
      </c>
      <c r="S22" s="44">
        <f t="shared" si="8"/>
        <v>0.97909999999999997</v>
      </c>
      <c r="V22" s="64"/>
    </row>
    <row r="23" spans="1:22">
      <c r="A23" s="233" t="s">
        <v>155</v>
      </c>
      <c r="B23" s="234" t="s">
        <v>6</v>
      </c>
      <c r="C23" s="235" t="s">
        <v>160</v>
      </c>
      <c r="D23" s="237">
        <v>40</v>
      </c>
      <c r="E23" s="88">
        <v>238.36500000000001</v>
      </c>
      <c r="F23" s="89" t="s">
        <v>33</v>
      </c>
      <c r="G23" s="98">
        <v>0</v>
      </c>
      <c r="H23" s="102">
        <f t="shared" si="0"/>
        <v>238.36500000000001</v>
      </c>
      <c r="I23" s="100">
        <f t="shared" si="1"/>
        <v>0.98140000000000005</v>
      </c>
      <c r="J23" s="239">
        <v>0.92869999999999997</v>
      </c>
      <c r="K23" s="63">
        <f t="shared" si="9"/>
        <v>233.93141100000003</v>
      </c>
      <c r="L23" s="94">
        <f t="shared" si="2"/>
        <v>217.25200000000001</v>
      </c>
      <c r="M23" s="90">
        <f t="shared" si="10"/>
        <v>216.99477684360002</v>
      </c>
      <c r="N23" s="43">
        <f t="shared" si="3"/>
        <v>25</v>
      </c>
      <c r="O23" s="70">
        <f t="shared" si="4"/>
        <v>928.69999999999993</v>
      </c>
      <c r="P23" s="26">
        <f t="shared" si="5"/>
        <v>186.96960000000001</v>
      </c>
      <c r="Q23" s="26">
        <f t="shared" si="6"/>
        <v>0.48620000000000002</v>
      </c>
      <c r="R23" s="26">
        <f t="shared" si="7"/>
        <v>7.4030795875108097E-4</v>
      </c>
      <c r="S23" s="44">
        <f t="shared" si="8"/>
        <v>0.98140000000000005</v>
      </c>
      <c r="V23" s="64"/>
    </row>
    <row r="24" spans="1:22">
      <c r="A24" s="233" t="s">
        <v>156</v>
      </c>
      <c r="B24" s="234" t="s">
        <v>6</v>
      </c>
      <c r="C24" s="235" t="s">
        <v>162</v>
      </c>
      <c r="D24" s="237">
        <v>72</v>
      </c>
      <c r="E24" s="88">
        <v>8.3000000000000007</v>
      </c>
      <c r="F24" s="89" t="s">
        <v>33</v>
      </c>
      <c r="G24" s="98">
        <v>0</v>
      </c>
      <c r="H24" s="102">
        <f t="shared" si="0"/>
        <v>8.3000000000000007</v>
      </c>
      <c r="I24" s="100">
        <f t="shared" si="1"/>
        <v>0.95730000000000004</v>
      </c>
      <c r="J24" s="239">
        <v>0.92869999999999997</v>
      </c>
      <c r="K24" s="63">
        <f t="shared" si="9"/>
        <v>7.945590000000001</v>
      </c>
      <c r="L24" s="94">
        <f t="shared" si="2"/>
        <v>7.3789999999999996</v>
      </c>
      <c r="M24" s="90">
        <f t="shared" si="10"/>
        <v>7.3703292840000012</v>
      </c>
      <c r="N24" s="43">
        <f t="shared" si="3"/>
        <v>57</v>
      </c>
      <c r="O24" s="26">
        <f t="shared" si="4"/>
        <v>928.69999999999993</v>
      </c>
      <c r="P24" s="26">
        <f t="shared" si="5"/>
        <v>186.96960000000001</v>
      </c>
      <c r="Q24" s="26">
        <f t="shared" si="6"/>
        <v>0.48620000000000002</v>
      </c>
      <c r="R24" s="26">
        <f t="shared" si="7"/>
        <v>7.4030795875108097E-4</v>
      </c>
      <c r="S24" s="44">
        <f t="shared" si="8"/>
        <v>0.95730000000000004</v>
      </c>
      <c r="V24" s="64"/>
    </row>
    <row r="25" spans="1:22">
      <c r="A25" s="233" t="s">
        <v>157</v>
      </c>
      <c r="B25" s="234" t="s">
        <v>6</v>
      </c>
      <c r="C25" s="235" t="s">
        <v>162</v>
      </c>
      <c r="D25" s="237">
        <v>88</v>
      </c>
      <c r="E25" s="88">
        <v>10</v>
      </c>
      <c r="F25" s="89" t="s">
        <v>33</v>
      </c>
      <c r="G25" s="98">
        <v>0</v>
      </c>
      <c r="H25" s="102">
        <f t="shared" si="0"/>
        <v>10</v>
      </c>
      <c r="I25" s="100">
        <f t="shared" si="1"/>
        <v>0.94520000000000004</v>
      </c>
      <c r="J25" s="239">
        <v>0.92869999999999997</v>
      </c>
      <c r="K25" s="63">
        <f t="shared" si="9"/>
        <v>9.452</v>
      </c>
      <c r="L25" s="94">
        <f t="shared" si="2"/>
        <v>8.7780000000000005</v>
      </c>
      <c r="M25" s="90">
        <f t="shared" si="10"/>
        <v>8.7676751999999993</v>
      </c>
      <c r="N25" s="43">
        <f t="shared" si="3"/>
        <v>73</v>
      </c>
      <c r="O25" s="26">
        <f t="shared" si="4"/>
        <v>928.69999999999993</v>
      </c>
      <c r="P25" s="26">
        <f t="shared" si="5"/>
        <v>186.96960000000001</v>
      </c>
      <c r="Q25" s="26">
        <f t="shared" si="6"/>
        <v>0.48620000000000002</v>
      </c>
      <c r="R25" s="26">
        <f t="shared" si="7"/>
        <v>7.4030795875108097E-4</v>
      </c>
      <c r="S25" s="44">
        <f t="shared" si="8"/>
        <v>0.94520000000000004</v>
      </c>
      <c r="V25" s="64"/>
    </row>
    <row r="26" spans="1:22" ht="13.5" thickBot="1">
      <c r="A26" s="233" t="s">
        <v>158</v>
      </c>
      <c r="B26" s="234" t="s">
        <v>6</v>
      </c>
      <c r="C26" s="235" t="s">
        <v>163</v>
      </c>
      <c r="D26" s="237">
        <v>40</v>
      </c>
      <c r="E26" s="88">
        <v>0.3</v>
      </c>
      <c r="F26" s="89" t="s">
        <v>33</v>
      </c>
      <c r="G26" s="98">
        <v>0</v>
      </c>
      <c r="H26" s="102">
        <f t="shared" si="0"/>
        <v>0.3</v>
      </c>
      <c r="I26" s="100">
        <f>IF(E26="","",S26)</f>
        <v>0.98140000000000005</v>
      </c>
      <c r="J26" s="239">
        <v>0.92869999999999997</v>
      </c>
      <c r="K26" s="63">
        <f>IF(E26="","",H26*I26)</f>
        <v>0.29442000000000002</v>
      </c>
      <c r="L26" s="94">
        <f>IF(A26="","",ROUND(SUM(K26*J26),3))</f>
        <v>0.27300000000000002</v>
      </c>
      <c r="M26" s="90">
        <f>(J26-0.0011)*K26</f>
        <v>0.27310399200000002</v>
      </c>
      <c r="N26" s="43">
        <f t="shared" si="3"/>
        <v>25</v>
      </c>
      <c r="O26" s="26">
        <f>J26*1000</f>
        <v>928.69999999999993</v>
      </c>
      <c r="P26" s="26">
        <f>IF(J26&gt;0.8385,186.9696,IF(J26&gt;0.7875,594.5418,IF(J26&gt;0.77,2680.3206,346.4228)))</f>
        <v>186.96960000000001</v>
      </c>
      <c r="Q26" s="26">
        <f>IF(J26&gt;0.8385,0.4862,IF(J26&gt;0.7875,0,IF(J26&gt;0.77,-0.00336312,0.4388)))</f>
        <v>0.48620000000000002</v>
      </c>
      <c r="R26" s="26">
        <f>IF(OR(J26&gt;0.7876,J26=0.7876),(P26/O26^2)+(Q26/O26),IF(OR(J26&gt;0.7701,J26=0.7701),(P26/O26^2)+Q26,(P26/O26^2)+(Q26/O26)))</f>
        <v>7.4030795875108097E-4</v>
      </c>
      <c r="S26" s="44">
        <f t="shared" si="8"/>
        <v>0.98140000000000005</v>
      </c>
      <c r="V26" s="64"/>
    </row>
    <row r="27" spans="1:22" hidden="1">
      <c r="A27" s="221">
        <v>7</v>
      </c>
      <c r="B27" s="219" t="s">
        <v>6</v>
      </c>
      <c r="C27" s="195">
        <v>0</v>
      </c>
      <c r="D27" s="193">
        <v>0</v>
      </c>
      <c r="E27" s="194">
        <v>0</v>
      </c>
      <c r="F27" s="89" t="s">
        <v>33</v>
      </c>
      <c r="G27" s="98">
        <v>0</v>
      </c>
      <c r="H27" s="102">
        <f t="shared" si="0"/>
        <v>0</v>
      </c>
      <c r="I27" s="100">
        <f t="shared" si="1"/>
        <v>1.0115000000000001</v>
      </c>
      <c r="J27" s="200">
        <v>0.9</v>
      </c>
      <c r="K27" s="63">
        <f t="shared" si="9"/>
        <v>0</v>
      </c>
      <c r="L27" s="94">
        <f t="shared" si="2"/>
        <v>0</v>
      </c>
      <c r="M27" s="90">
        <f t="shared" si="10"/>
        <v>0</v>
      </c>
      <c r="N27" s="43">
        <f t="shared" si="3"/>
        <v>-15</v>
      </c>
      <c r="O27" s="26">
        <f t="shared" si="4"/>
        <v>900</v>
      </c>
      <c r="P27" s="26">
        <f t="shared" si="5"/>
        <v>186.96960000000001</v>
      </c>
      <c r="Q27" s="26">
        <f t="shared" si="6"/>
        <v>0.48620000000000002</v>
      </c>
      <c r="R27" s="26">
        <f t="shared" si="7"/>
        <v>7.7104888888888891E-4</v>
      </c>
      <c r="S27" s="44">
        <f t="shared" si="8"/>
        <v>1.0115000000000001</v>
      </c>
      <c r="V27" s="64"/>
    </row>
    <row r="28" spans="1:22" hidden="1">
      <c r="A28" s="221">
        <v>8</v>
      </c>
      <c r="B28" s="219" t="s">
        <v>6</v>
      </c>
      <c r="C28" s="195">
        <v>0</v>
      </c>
      <c r="D28" s="193">
        <v>0</v>
      </c>
      <c r="E28" s="194">
        <v>0</v>
      </c>
      <c r="F28" s="89" t="s">
        <v>33</v>
      </c>
      <c r="G28" s="98">
        <v>0</v>
      </c>
      <c r="H28" s="102">
        <f t="shared" si="0"/>
        <v>0</v>
      </c>
      <c r="I28" s="100">
        <f t="shared" si="1"/>
        <v>1.0115000000000001</v>
      </c>
      <c r="J28" s="200">
        <v>0.9</v>
      </c>
      <c r="K28" s="63">
        <f t="shared" si="9"/>
        <v>0</v>
      </c>
      <c r="L28" s="94">
        <f t="shared" si="2"/>
        <v>0</v>
      </c>
      <c r="M28" s="90">
        <f t="shared" si="10"/>
        <v>0</v>
      </c>
      <c r="N28" s="43">
        <f t="shared" si="3"/>
        <v>-15</v>
      </c>
      <c r="O28" s="26">
        <f t="shared" si="4"/>
        <v>900</v>
      </c>
      <c r="P28" s="26">
        <f t="shared" si="5"/>
        <v>186.96960000000001</v>
      </c>
      <c r="Q28" s="26">
        <f t="shared" si="6"/>
        <v>0.48620000000000002</v>
      </c>
      <c r="R28" s="26">
        <f t="shared" si="7"/>
        <v>7.7104888888888891E-4</v>
      </c>
      <c r="S28" s="44">
        <f t="shared" si="8"/>
        <v>1.0115000000000001</v>
      </c>
      <c r="V28" s="64"/>
    </row>
    <row r="29" spans="1:22" hidden="1">
      <c r="A29" s="221">
        <v>9</v>
      </c>
      <c r="B29" s="219" t="s">
        <v>6</v>
      </c>
      <c r="C29" s="195">
        <v>0</v>
      </c>
      <c r="D29" s="193">
        <v>0</v>
      </c>
      <c r="E29" s="194">
        <v>0</v>
      </c>
      <c r="F29" s="89" t="s">
        <v>33</v>
      </c>
      <c r="G29" s="98">
        <v>0</v>
      </c>
      <c r="H29" s="102">
        <f t="shared" si="0"/>
        <v>0</v>
      </c>
      <c r="I29" s="100">
        <f t="shared" si="1"/>
        <v>1.0115000000000001</v>
      </c>
      <c r="J29" s="200">
        <v>0.9</v>
      </c>
      <c r="K29" s="63">
        <f t="shared" si="9"/>
        <v>0</v>
      </c>
      <c r="L29" s="94">
        <f t="shared" si="2"/>
        <v>0</v>
      </c>
      <c r="M29" s="90">
        <f t="shared" si="10"/>
        <v>0</v>
      </c>
      <c r="N29" s="43">
        <f t="shared" si="3"/>
        <v>-15</v>
      </c>
      <c r="O29" s="26">
        <f t="shared" si="4"/>
        <v>900</v>
      </c>
      <c r="P29" s="26">
        <f t="shared" si="5"/>
        <v>186.96960000000001</v>
      </c>
      <c r="Q29" s="26">
        <f t="shared" si="6"/>
        <v>0.48620000000000002</v>
      </c>
      <c r="R29" s="26">
        <f t="shared" si="7"/>
        <v>7.7104888888888891E-4</v>
      </c>
      <c r="S29" s="44">
        <f t="shared" si="8"/>
        <v>1.0115000000000001</v>
      </c>
      <c r="V29" s="64"/>
    </row>
    <row r="30" spans="1:22" hidden="1">
      <c r="A30" s="221">
        <v>10</v>
      </c>
      <c r="B30" s="219" t="s">
        <v>6</v>
      </c>
      <c r="C30" s="195">
        <v>0</v>
      </c>
      <c r="D30" s="193">
        <v>0</v>
      </c>
      <c r="E30" s="194">
        <v>0</v>
      </c>
      <c r="F30" s="89" t="s">
        <v>33</v>
      </c>
      <c r="G30" s="98">
        <v>0</v>
      </c>
      <c r="H30" s="102">
        <f t="shared" si="0"/>
        <v>0</v>
      </c>
      <c r="I30" s="100">
        <f t="shared" si="1"/>
        <v>1.0115000000000001</v>
      </c>
      <c r="J30" s="200">
        <v>0.9</v>
      </c>
      <c r="K30" s="63">
        <f t="shared" si="9"/>
        <v>0</v>
      </c>
      <c r="L30" s="94">
        <f t="shared" si="2"/>
        <v>0</v>
      </c>
      <c r="M30" s="90">
        <f t="shared" si="10"/>
        <v>0</v>
      </c>
      <c r="N30" s="43">
        <f t="shared" si="3"/>
        <v>-15</v>
      </c>
      <c r="O30" s="26">
        <f t="shared" si="4"/>
        <v>900</v>
      </c>
      <c r="P30" s="26">
        <f t="shared" si="5"/>
        <v>186.96960000000001</v>
      </c>
      <c r="Q30" s="26">
        <f t="shared" si="6"/>
        <v>0.48620000000000002</v>
      </c>
      <c r="R30" s="26">
        <f t="shared" si="7"/>
        <v>7.7104888888888891E-4</v>
      </c>
      <c r="S30" s="44">
        <f t="shared" si="8"/>
        <v>1.0115000000000001</v>
      </c>
      <c r="V30" s="64"/>
    </row>
    <row r="31" spans="1:22" hidden="1">
      <c r="A31" s="222">
        <v>11</v>
      </c>
      <c r="B31" s="220" t="s">
        <v>6</v>
      </c>
      <c r="C31" s="196">
        <v>0</v>
      </c>
      <c r="D31" s="197">
        <v>0</v>
      </c>
      <c r="E31" s="198">
        <v>0</v>
      </c>
      <c r="F31" s="92" t="s">
        <v>33</v>
      </c>
      <c r="G31" s="99">
        <v>0</v>
      </c>
      <c r="H31" s="103">
        <f t="shared" si="0"/>
        <v>0</v>
      </c>
      <c r="I31" s="100">
        <f>IF(E31="","",S31)</f>
        <v>1.0115000000000001</v>
      </c>
      <c r="J31" s="200">
        <v>0.9</v>
      </c>
      <c r="K31" s="63">
        <f>IF(E31="","",H31*I31)</f>
        <v>0</v>
      </c>
      <c r="L31" s="94">
        <f>IF(A31="","",ROUND(SUM(K31*J31),3))</f>
        <v>0</v>
      </c>
      <c r="M31" s="90">
        <f>(J31-0.0011)*K31</f>
        <v>0</v>
      </c>
      <c r="N31" s="43">
        <f>D31-15</f>
        <v>-15</v>
      </c>
      <c r="O31" s="26">
        <f>J31*1000</f>
        <v>900</v>
      </c>
      <c r="P31" s="26">
        <f>IF(J31&gt;0.8385,186.9696,IF(J31&gt;0.7875,594.5418,IF(J31&gt;0.77,2680.3206,346.4228)))</f>
        <v>186.96960000000001</v>
      </c>
      <c r="Q31" s="26">
        <f>IF(J31&gt;0.8385,0.4862,IF(J31&gt;0.7875,0,IF(J31&gt;0.77,-0.00336312,0.4388)))</f>
        <v>0.48620000000000002</v>
      </c>
      <c r="R31" s="26">
        <f>IF(OR(J31&gt;0.7876,J31=0.7876),(P31/O31^2)+(Q31/O31),IF(OR(J31&gt;0.7701,J31=0.7701),(P31/O31^2)+Q31,(P31/O31^2)+(Q31/O31)))</f>
        <v>7.7104888888888891E-4</v>
      </c>
      <c r="S31" s="44">
        <f>ROUND(EXP(-R31*N31*(1+0.8*R31*N31)),4)</f>
        <v>1.0115000000000001</v>
      </c>
      <c r="V31" s="64"/>
    </row>
    <row r="32" spans="1:22" ht="13.5" hidden="1" thickBot="1">
      <c r="A32" s="222">
        <v>12</v>
      </c>
      <c r="B32" s="220" t="s">
        <v>6</v>
      </c>
      <c r="C32" s="196">
        <v>0</v>
      </c>
      <c r="D32" s="197">
        <v>0</v>
      </c>
      <c r="E32" s="198">
        <v>0</v>
      </c>
      <c r="F32" s="92" t="s">
        <v>33</v>
      </c>
      <c r="G32" s="99">
        <v>0</v>
      </c>
      <c r="H32" s="103">
        <f t="shared" si="0"/>
        <v>0</v>
      </c>
      <c r="I32" s="101">
        <f t="shared" si="1"/>
        <v>1.0115000000000001</v>
      </c>
      <c r="J32" s="201">
        <v>0.9</v>
      </c>
      <c r="K32" s="93">
        <f t="shared" si="9"/>
        <v>0</v>
      </c>
      <c r="L32" s="95">
        <f t="shared" si="2"/>
        <v>0</v>
      </c>
      <c r="M32" s="91">
        <f t="shared" si="10"/>
        <v>0</v>
      </c>
      <c r="N32" s="43">
        <f t="shared" si="3"/>
        <v>-15</v>
      </c>
      <c r="O32" s="26">
        <f t="shared" si="4"/>
        <v>900</v>
      </c>
      <c r="P32" s="26">
        <f t="shared" si="5"/>
        <v>186.96960000000001</v>
      </c>
      <c r="Q32" s="26">
        <f t="shared" si="6"/>
        <v>0.48620000000000002</v>
      </c>
      <c r="R32" s="26">
        <f t="shared" si="7"/>
        <v>7.7104888888888891E-4</v>
      </c>
      <c r="S32" s="44">
        <f t="shared" si="8"/>
        <v>1.0115000000000001</v>
      </c>
      <c r="V32" s="64"/>
    </row>
    <row r="33" spans="1:19" ht="13.5" thickBot="1">
      <c r="A33" s="356" t="s">
        <v>34</v>
      </c>
      <c r="B33" s="357"/>
      <c r="C33" s="357"/>
      <c r="D33" s="357"/>
      <c r="E33" s="358"/>
      <c r="F33" s="354"/>
      <c r="G33" s="355"/>
      <c r="H33" s="185">
        <f>SUM(H21:H32)</f>
        <v>402.24300000000005</v>
      </c>
      <c r="I33" s="352"/>
      <c r="J33" s="353"/>
      <c r="K33" s="170">
        <f>SUM(K21:K32)</f>
        <v>393.88639760000001</v>
      </c>
      <c r="L33" s="171">
        <f>SUM(L21:L32)</f>
        <v>365.96300000000008</v>
      </c>
      <c r="M33" s="172">
        <f>SUM(M21:M32)</f>
        <v>365.53124399196003</v>
      </c>
      <c r="N33" s="45">
        <f>SUM(N21:N32)</f>
        <v>140</v>
      </c>
    </row>
    <row r="34" spans="1:19" ht="13.5" thickBot="1">
      <c r="A34" s="47"/>
      <c r="B34" s="47"/>
      <c r="C34" s="47"/>
      <c r="D34" s="47"/>
      <c r="E34" s="47"/>
      <c r="F34" s="47"/>
      <c r="G34" s="47"/>
      <c r="H34" s="78"/>
      <c r="I34" s="47"/>
      <c r="J34" s="47"/>
      <c r="K34" s="78"/>
      <c r="L34" s="78"/>
      <c r="M34" s="87"/>
      <c r="N34" s="45"/>
    </row>
    <row r="35" spans="1:19" ht="13.5" thickBot="1">
      <c r="J35" s="148" t="s">
        <v>35</v>
      </c>
      <c r="K35" s="72">
        <v>355.5</v>
      </c>
      <c r="L35" s="83" t="s">
        <v>36</v>
      </c>
      <c r="M35" s="86">
        <f>M33-K35</f>
        <v>10.031243991960025</v>
      </c>
      <c r="N35" s="42"/>
    </row>
    <row r="36" spans="1:19">
      <c r="A36" s="25"/>
      <c r="D36" s="33"/>
      <c r="F36" s="33"/>
      <c r="N36" s="42"/>
    </row>
    <row r="37" spans="1:19">
      <c r="A37" s="25" t="s">
        <v>37</v>
      </c>
      <c r="N37" s="42"/>
    </row>
    <row r="38" spans="1:19">
      <c r="A38" s="96" t="s">
        <v>12</v>
      </c>
      <c r="B38" s="226">
        <v>2.4</v>
      </c>
      <c r="C38" s="97" t="s">
        <v>13</v>
      </c>
      <c r="D38" s="97" t="s">
        <v>14</v>
      </c>
      <c r="E38" s="241">
        <v>6.22</v>
      </c>
      <c r="F38" s="28" t="s">
        <v>13</v>
      </c>
      <c r="G38" s="217" t="s">
        <v>15</v>
      </c>
      <c r="H38" s="242">
        <v>0</v>
      </c>
      <c r="I38" s="105" t="s">
        <v>16</v>
      </c>
      <c r="J38" s="106"/>
      <c r="K38" s="115" t="s">
        <v>17</v>
      </c>
      <c r="L38" s="362" t="s">
        <v>18</v>
      </c>
      <c r="M38" s="363"/>
      <c r="N38" s="42"/>
    </row>
    <row r="39" spans="1:19">
      <c r="A39" s="324" t="s">
        <v>19</v>
      </c>
      <c r="B39" s="330" t="s">
        <v>20</v>
      </c>
      <c r="C39" s="350" t="s">
        <v>21</v>
      </c>
      <c r="D39" s="348" t="s">
        <v>38</v>
      </c>
      <c r="E39" s="373" t="s">
        <v>39</v>
      </c>
      <c r="F39" s="334" t="s">
        <v>24</v>
      </c>
      <c r="G39" s="335"/>
      <c r="H39" s="370" t="s">
        <v>25</v>
      </c>
      <c r="I39" s="367" t="s">
        <v>26</v>
      </c>
      <c r="J39" s="338" t="s">
        <v>27</v>
      </c>
      <c r="K39" s="375" t="s">
        <v>40</v>
      </c>
      <c r="L39" s="364" t="s">
        <v>29</v>
      </c>
      <c r="M39" s="337" t="s">
        <v>30</v>
      </c>
      <c r="N39" s="42"/>
    </row>
    <row r="40" spans="1:19" ht="13.5" thickBot="1">
      <c r="A40" s="325"/>
      <c r="B40" s="331"/>
      <c r="C40" s="351"/>
      <c r="D40" s="349"/>
      <c r="E40" s="374"/>
      <c r="F40" s="215" t="s">
        <v>31</v>
      </c>
      <c r="G40" s="216" t="s">
        <v>32</v>
      </c>
      <c r="H40" s="371"/>
      <c r="I40" s="368"/>
      <c r="J40" s="339"/>
      <c r="K40" s="376"/>
      <c r="L40" s="365"/>
      <c r="M40" s="366"/>
      <c r="N40" s="42"/>
    </row>
    <row r="41" spans="1:19">
      <c r="A41" s="230" t="str">
        <f t="shared" ref="A41:A52" si="11">A21</f>
        <v>FO 1C</v>
      </c>
      <c r="B41" s="231" t="s">
        <v>6</v>
      </c>
      <c r="C41" s="232" t="s">
        <v>167</v>
      </c>
      <c r="D41" s="236">
        <v>40</v>
      </c>
      <c r="E41" s="186">
        <v>977.00099999999998</v>
      </c>
      <c r="F41" s="173" t="s">
        <v>33</v>
      </c>
      <c r="G41" s="186">
        <v>0</v>
      </c>
      <c r="H41" s="174">
        <f>IF(E41="","",E41-G41)</f>
        <v>977.00099999999998</v>
      </c>
      <c r="I41" s="175">
        <f>IF(E41="","",S41)</f>
        <v>0.98170000000000002</v>
      </c>
      <c r="J41" s="238">
        <v>0.94099999999999995</v>
      </c>
      <c r="K41" s="176">
        <f>IF(E41="","",H41*I41)</f>
        <v>959.12188170000002</v>
      </c>
      <c r="L41" s="122">
        <f>IF(A41="","",ROUND(SUM(K41*J41),3))</f>
        <v>902.53399999999999</v>
      </c>
      <c r="M41" s="123">
        <f>(J41-0.0011)*K41</f>
        <v>901.47865660982995</v>
      </c>
      <c r="N41" s="43">
        <f>D41-15</f>
        <v>25</v>
      </c>
      <c r="O41" s="26">
        <f>J41*1000</f>
        <v>941</v>
      </c>
      <c r="P41" s="26">
        <f>IF(J41&gt;0.8385,186.9696,IF(J41&gt;0.7875,594.5418,IF(J41&gt;0.77,2680.3206,346.4228)))</f>
        <v>186.96960000000001</v>
      </c>
      <c r="Q41" s="26">
        <f>IF(J41&gt;0.8385,0.4862,IF(J41&gt;0.7875,0,IF(J41&gt;0.77,-0.00336312,0.4388)))</f>
        <v>0.48620000000000002</v>
      </c>
      <c r="R41" s="26">
        <f>IF(OR(J41&gt;0.7876,J41=0.7876),(P41/O41^2)+(Q41/O41),IF(OR(J41&gt;0.7701,J41=0.7701),(P41/O41^2)+Q41,(P41/O41^2)+(Q41/O41)))</f>
        <v>7.2783470226916221E-4</v>
      </c>
      <c r="S41" s="44">
        <f>ROUND(EXP(-R41*N41*(1+0.8*R41*N41)),4)</f>
        <v>0.98170000000000002</v>
      </c>
    </row>
    <row r="42" spans="1:19">
      <c r="A42" s="233" t="str">
        <f t="shared" si="11"/>
        <v>FO 2C</v>
      </c>
      <c r="B42" s="234" t="s">
        <v>6</v>
      </c>
      <c r="C42" s="235" t="s">
        <v>159</v>
      </c>
      <c r="D42" s="237">
        <v>43</v>
      </c>
      <c r="E42" s="88">
        <v>145.93600000000001</v>
      </c>
      <c r="F42" s="89" t="s">
        <v>33</v>
      </c>
      <c r="G42" s="88">
        <v>0</v>
      </c>
      <c r="H42" s="102">
        <f t="shared" ref="H42:H52" si="12">IF(E42="","",E42-G42)</f>
        <v>145.93600000000001</v>
      </c>
      <c r="I42" s="100">
        <f t="shared" ref="I42:I52" si="13">IF(E42="","",S42)</f>
        <v>0.97909999999999997</v>
      </c>
      <c r="J42" s="239">
        <v>0.92869999999999997</v>
      </c>
      <c r="K42" s="63">
        <f t="shared" ref="K42:K52" si="14">IF(E42="","",H42*I42)</f>
        <v>142.88593760000001</v>
      </c>
      <c r="L42" s="107">
        <f t="shared" ref="L42:L52" si="15">IF(A42="","",ROUND(SUM(K42*J42),3))</f>
        <v>132.69800000000001</v>
      </c>
      <c r="M42" s="108">
        <f t="shared" ref="M42:M52" si="16">(J42-0.0011)*K42</f>
        <v>132.54099571776001</v>
      </c>
      <c r="N42" s="43">
        <f t="shared" ref="N42:N52" si="17">D42-15</f>
        <v>28</v>
      </c>
      <c r="O42" s="26">
        <f t="shared" ref="O42:O52" si="18">J42*1000</f>
        <v>928.69999999999993</v>
      </c>
      <c r="P42" s="26">
        <f t="shared" ref="P42:P52" si="19">IF(J42&gt;0.8385,186.9696,IF(J42&gt;0.7875,594.5418,IF(J42&gt;0.77,2680.3206,346.4228)))</f>
        <v>186.96960000000001</v>
      </c>
      <c r="Q42" s="26">
        <f t="shared" ref="Q42:Q52" si="20">IF(J42&gt;0.8385,0.4862,IF(J42&gt;0.7875,0,IF(J42&gt;0.77,-0.00336312,0.4388)))</f>
        <v>0.48620000000000002</v>
      </c>
      <c r="R42" s="26">
        <f t="shared" ref="R42:R52" si="21">IF(OR(J42&gt;0.7876,J42=0.7876),(P42/O42^2)+(Q42/O42),IF(OR(J42&gt;0.7701,J42=0.7701),(P42/O42^2)+Q42,(P42/O42^2)+(Q42/O42)))</f>
        <v>7.4030795875108097E-4</v>
      </c>
      <c r="S42" s="44">
        <f t="shared" ref="S42:S52" si="22">ROUND(EXP(-R42*N42*(1+0.8*R42*N42)),4)</f>
        <v>0.97909999999999997</v>
      </c>
    </row>
    <row r="43" spans="1:19">
      <c r="A43" s="233" t="str">
        <f t="shared" si="11"/>
        <v>AFT-S</v>
      </c>
      <c r="B43" s="234" t="s">
        <v>6</v>
      </c>
      <c r="C43" s="235" t="s">
        <v>160</v>
      </c>
      <c r="D43" s="237">
        <v>40</v>
      </c>
      <c r="E43" s="88">
        <v>238.36500000000001</v>
      </c>
      <c r="F43" s="89" t="s">
        <v>33</v>
      </c>
      <c r="G43" s="88">
        <v>0</v>
      </c>
      <c r="H43" s="102">
        <f t="shared" si="12"/>
        <v>238.36500000000001</v>
      </c>
      <c r="I43" s="100">
        <f t="shared" si="13"/>
        <v>0.98140000000000005</v>
      </c>
      <c r="J43" s="239">
        <v>0.92869999999999997</v>
      </c>
      <c r="K43" s="63">
        <f t="shared" si="14"/>
        <v>233.93141100000003</v>
      </c>
      <c r="L43" s="107">
        <f t="shared" si="15"/>
        <v>217.25200000000001</v>
      </c>
      <c r="M43" s="108">
        <f t="shared" si="16"/>
        <v>216.99477684360002</v>
      </c>
      <c r="N43" s="43">
        <f t="shared" si="17"/>
        <v>25</v>
      </c>
      <c r="O43" s="26">
        <f t="shared" si="18"/>
        <v>928.69999999999993</v>
      </c>
      <c r="P43" s="26">
        <f t="shared" si="19"/>
        <v>186.96960000000001</v>
      </c>
      <c r="Q43" s="26">
        <f t="shared" si="20"/>
        <v>0.48620000000000002</v>
      </c>
      <c r="R43" s="26">
        <f t="shared" si="21"/>
        <v>7.4030795875108097E-4</v>
      </c>
      <c r="S43" s="44">
        <f t="shared" si="22"/>
        <v>0.98140000000000005</v>
      </c>
    </row>
    <row r="44" spans="1:19">
      <c r="A44" s="233" t="str">
        <f t="shared" si="11"/>
        <v>FO SETT</v>
      </c>
      <c r="B44" s="234" t="s">
        <v>6</v>
      </c>
      <c r="C44" s="235" t="s">
        <v>162</v>
      </c>
      <c r="D44" s="237">
        <v>72</v>
      </c>
      <c r="E44" s="88">
        <v>8.3000000000000007</v>
      </c>
      <c r="F44" s="89" t="s">
        <v>33</v>
      </c>
      <c r="G44" s="88">
        <v>0</v>
      </c>
      <c r="H44" s="102">
        <f t="shared" si="12"/>
        <v>8.3000000000000007</v>
      </c>
      <c r="I44" s="100">
        <f t="shared" si="13"/>
        <v>0.95730000000000004</v>
      </c>
      <c r="J44" s="239">
        <v>0.92869999999999997</v>
      </c>
      <c r="K44" s="63">
        <f t="shared" si="14"/>
        <v>7.945590000000001</v>
      </c>
      <c r="L44" s="107">
        <f t="shared" si="15"/>
        <v>7.3789999999999996</v>
      </c>
      <c r="M44" s="108">
        <f t="shared" si="16"/>
        <v>7.3703292840000012</v>
      </c>
      <c r="N44" s="43">
        <f t="shared" si="17"/>
        <v>57</v>
      </c>
      <c r="O44" s="26">
        <f t="shared" si="18"/>
        <v>928.69999999999993</v>
      </c>
      <c r="P44" s="26">
        <f t="shared" si="19"/>
        <v>186.96960000000001</v>
      </c>
      <c r="Q44" s="26">
        <f t="shared" si="20"/>
        <v>0.48620000000000002</v>
      </c>
      <c r="R44" s="26">
        <f t="shared" si="21"/>
        <v>7.4030795875108097E-4</v>
      </c>
      <c r="S44" s="44">
        <f t="shared" si="22"/>
        <v>0.95730000000000004</v>
      </c>
    </row>
    <row r="45" spans="1:19">
      <c r="A45" s="233" t="str">
        <f t="shared" si="11"/>
        <v>FO SERV</v>
      </c>
      <c r="B45" s="234" t="s">
        <v>6</v>
      </c>
      <c r="C45" s="235" t="s">
        <v>162</v>
      </c>
      <c r="D45" s="237">
        <v>88</v>
      </c>
      <c r="E45" s="88">
        <v>8</v>
      </c>
      <c r="F45" s="89" t="s">
        <v>33</v>
      </c>
      <c r="G45" s="88">
        <v>0</v>
      </c>
      <c r="H45" s="102">
        <f t="shared" si="12"/>
        <v>8</v>
      </c>
      <c r="I45" s="100">
        <f t="shared" si="13"/>
        <v>0.94520000000000004</v>
      </c>
      <c r="J45" s="239">
        <v>0.92869999999999997</v>
      </c>
      <c r="K45" s="63">
        <f t="shared" si="14"/>
        <v>7.5616000000000003</v>
      </c>
      <c r="L45" s="107">
        <f t="shared" si="15"/>
        <v>7.0220000000000002</v>
      </c>
      <c r="M45" s="108">
        <f t="shared" si="16"/>
        <v>7.0141401600000002</v>
      </c>
      <c r="N45" s="43">
        <f t="shared" si="17"/>
        <v>73</v>
      </c>
      <c r="O45" s="26">
        <f t="shared" si="18"/>
        <v>928.69999999999993</v>
      </c>
      <c r="P45" s="26">
        <f t="shared" si="19"/>
        <v>186.96960000000001</v>
      </c>
      <c r="Q45" s="26">
        <f t="shared" si="20"/>
        <v>0.48620000000000002</v>
      </c>
      <c r="R45" s="26">
        <f t="shared" si="21"/>
        <v>7.4030795875108097E-4</v>
      </c>
      <c r="S45" s="44">
        <f t="shared" si="22"/>
        <v>0.94520000000000004</v>
      </c>
    </row>
    <row r="46" spans="1:19" ht="13.5" thickBot="1">
      <c r="A46" s="233" t="str">
        <f t="shared" si="11"/>
        <v>OVERFLOW</v>
      </c>
      <c r="B46" s="234" t="s">
        <v>6</v>
      </c>
      <c r="C46" s="235" t="s">
        <v>163</v>
      </c>
      <c r="D46" s="237">
        <v>40</v>
      </c>
      <c r="E46" s="88">
        <v>0.3</v>
      </c>
      <c r="F46" s="89" t="s">
        <v>33</v>
      </c>
      <c r="G46" s="88">
        <v>0</v>
      </c>
      <c r="H46" s="102">
        <f t="shared" si="12"/>
        <v>0.3</v>
      </c>
      <c r="I46" s="100">
        <f>IF(E46="","",S46)</f>
        <v>0.98140000000000005</v>
      </c>
      <c r="J46" s="239">
        <v>0.92869999999999997</v>
      </c>
      <c r="K46" s="63">
        <f>IF(E46="","",H46*I46)</f>
        <v>0.29442000000000002</v>
      </c>
      <c r="L46" s="107">
        <f>IF(A46="","",ROUND(SUM(K46*J46),3))</f>
        <v>0.27300000000000002</v>
      </c>
      <c r="M46" s="108">
        <f>(J46-0.0011)*K46</f>
        <v>0.27310399200000002</v>
      </c>
      <c r="N46" s="43">
        <f>D46-15</f>
        <v>25</v>
      </c>
      <c r="O46" s="26">
        <f>J46*1000</f>
        <v>928.69999999999993</v>
      </c>
      <c r="P46" s="26">
        <f>IF(J46&gt;0.8385,186.9696,IF(J46&gt;0.7875,594.5418,IF(J46&gt;0.77,2680.3206,346.4228)))</f>
        <v>186.96960000000001</v>
      </c>
      <c r="Q46" s="26">
        <f>IF(J46&gt;0.8385,0.4862,IF(J46&gt;0.7875,0,IF(J46&gt;0.77,-0.00336312,0.4388)))</f>
        <v>0.48620000000000002</v>
      </c>
      <c r="R46" s="26">
        <f>IF(OR(J46&gt;0.7876,J46=0.7876),(P46/O46^2)+(Q46/O46),IF(OR(J46&gt;0.7701,J46=0.7701),(P46/O46^2)+Q46,(P46/O46^2)+(Q46/O46)))</f>
        <v>7.4030795875108097E-4</v>
      </c>
      <c r="S46" s="44">
        <f t="shared" si="22"/>
        <v>0.98140000000000005</v>
      </c>
    </row>
    <row r="47" spans="1:19" hidden="1">
      <c r="A47" s="221">
        <f t="shared" si="11"/>
        <v>7</v>
      </c>
      <c r="B47" s="219" t="s">
        <v>6</v>
      </c>
      <c r="C47" s="195">
        <v>0</v>
      </c>
      <c r="D47" s="193">
        <v>0</v>
      </c>
      <c r="E47" s="194">
        <v>0</v>
      </c>
      <c r="F47" s="89" t="s">
        <v>33</v>
      </c>
      <c r="G47" s="88">
        <v>0</v>
      </c>
      <c r="H47" s="102">
        <f t="shared" si="12"/>
        <v>0</v>
      </c>
      <c r="I47" s="100">
        <f t="shared" si="13"/>
        <v>1.0115000000000001</v>
      </c>
      <c r="J47" s="199">
        <f t="shared" ref="J47:J52" si="23">J27</f>
        <v>0.9</v>
      </c>
      <c r="K47" s="63">
        <f t="shared" si="14"/>
        <v>0</v>
      </c>
      <c r="L47" s="107">
        <f>IF(A47="","",ROUND(SUM(K47*J47),3))</f>
        <v>0</v>
      </c>
      <c r="M47" s="108">
        <f t="shared" si="16"/>
        <v>0</v>
      </c>
      <c r="N47" s="43">
        <f t="shared" si="17"/>
        <v>-15</v>
      </c>
      <c r="O47" s="26">
        <f t="shared" si="18"/>
        <v>900</v>
      </c>
      <c r="P47" s="26">
        <f t="shared" si="19"/>
        <v>186.96960000000001</v>
      </c>
      <c r="Q47" s="26">
        <f t="shared" si="20"/>
        <v>0.48620000000000002</v>
      </c>
      <c r="R47" s="26">
        <f t="shared" si="21"/>
        <v>7.7104888888888891E-4</v>
      </c>
      <c r="S47" s="44">
        <f t="shared" si="22"/>
        <v>1.0115000000000001</v>
      </c>
    </row>
    <row r="48" spans="1:19" hidden="1">
      <c r="A48" s="221">
        <f t="shared" si="11"/>
        <v>8</v>
      </c>
      <c r="B48" s="219" t="s">
        <v>6</v>
      </c>
      <c r="C48" s="195">
        <v>0</v>
      </c>
      <c r="D48" s="193">
        <v>0</v>
      </c>
      <c r="E48" s="194">
        <v>0</v>
      </c>
      <c r="F48" s="89" t="s">
        <v>33</v>
      </c>
      <c r="G48" s="88">
        <v>0</v>
      </c>
      <c r="H48" s="102">
        <f t="shared" si="12"/>
        <v>0</v>
      </c>
      <c r="I48" s="100">
        <f t="shared" si="13"/>
        <v>1.0115000000000001</v>
      </c>
      <c r="J48" s="199">
        <f t="shared" si="23"/>
        <v>0.9</v>
      </c>
      <c r="K48" s="63">
        <f t="shared" si="14"/>
        <v>0</v>
      </c>
      <c r="L48" s="107">
        <f t="shared" si="15"/>
        <v>0</v>
      </c>
      <c r="M48" s="108">
        <f t="shared" si="16"/>
        <v>0</v>
      </c>
      <c r="N48" s="43">
        <f t="shared" si="17"/>
        <v>-15</v>
      </c>
      <c r="O48" s="26">
        <f t="shared" si="18"/>
        <v>900</v>
      </c>
      <c r="P48" s="26">
        <f t="shared" si="19"/>
        <v>186.96960000000001</v>
      </c>
      <c r="Q48" s="26">
        <f t="shared" si="20"/>
        <v>0.48620000000000002</v>
      </c>
      <c r="R48" s="26">
        <f t="shared" si="21"/>
        <v>7.7104888888888891E-4</v>
      </c>
      <c r="S48" s="44">
        <f t="shared" si="22"/>
        <v>1.0115000000000001</v>
      </c>
    </row>
    <row r="49" spans="1:21" hidden="1">
      <c r="A49" s="221">
        <f t="shared" si="11"/>
        <v>9</v>
      </c>
      <c r="B49" s="219" t="s">
        <v>6</v>
      </c>
      <c r="C49" s="195">
        <v>0</v>
      </c>
      <c r="D49" s="193">
        <v>0</v>
      </c>
      <c r="E49" s="194">
        <v>0</v>
      </c>
      <c r="F49" s="89" t="s">
        <v>33</v>
      </c>
      <c r="G49" s="88">
        <v>0</v>
      </c>
      <c r="H49" s="102">
        <f t="shared" si="12"/>
        <v>0</v>
      </c>
      <c r="I49" s="100">
        <f t="shared" si="13"/>
        <v>1.0115000000000001</v>
      </c>
      <c r="J49" s="199">
        <f t="shared" si="23"/>
        <v>0.9</v>
      </c>
      <c r="K49" s="63">
        <f t="shared" si="14"/>
        <v>0</v>
      </c>
      <c r="L49" s="107">
        <f t="shared" si="15"/>
        <v>0</v>
      </c>
      <c r="M49" s="108">
        <f t="shared" si="16"/>
        <v>0</v>
      </c>
      <c r="N49" s="43">
        <f t="shared" si="17"/>
        <v>-15</v>
      </c>
      <c r="O49" s="26">
        <f t="shared" si="18"/>
        <v>900</v>
      </c>
      <c r="P49" s="26">
        <f t="shared" si="19"/>
        <v>186.96960000000001</v>
      </c>
      <c r="Q49" s="26">
        <f t="shared" si="20"/>
        <v>0.48620000000000002</v>
      </c>
      <c r="R49" s="26">
        <f t="shared" si="21"/>
        <v>7.7104888888888891E-4</v>
      </c>
      <c r="S49" s="44">
        <f t="shared" si="22"/>
        <v>1.0115000000000001</v>
      </c>
    </row>
    <row r="50" spans="1:21" hidden="1">
      <c r="A50" s="221">
        <f t="shared" si="11"/>
        <v>10</v>
      </c>
      <c r="B50" s="219" t="s">
        <v>6</v>
      </c>
      <c r="C50" s="195">
        <v>0</v>
      </c>
      <c r="D50" s="193">
        <v>0</v>
      </c>
      <c r="E50" s="194">
        <v>0</v>
      </c>
      <c r="F50" s="89" t="s">
        <v>33</v>
      </c>
      <c r="G50" s="88">
        <v>0</v>
      </c>
      <c r="H50" s="102">
        <f t="shared" si="12"/>
        <v>0</v>
      </c>
      <c r="I50" s="100">
        <f t="shared" si="13"/>
        <v>1.0115000000000001</v>
      </c>
      <c r="J50" s="199">
        <f t="shared" si="23"/>
        <v>0.9</v>
      </c>
      <c r="K50" s="63">
        <f t="shared" si="14"/>
        <v>0</v>
      </c>
      <c r="L50" s="107">
        <f t="shared" si="15"/>
        <v>0</v>
      </c>
      <c r="M50" s="108">
        <f t="shared" si="16"/>
        <v>0</v>
      </c>
      <c r="N50" s="43">
        <f t="shared" si="17"/>
        <v>-15</v>
      </c>
      <c r="O50" s="26">
        <f t="shared" si="18"/>
        <v>900</v>
      </c>
      <c r="P50" s="26">
        <f t="shared" si="19"/>
        <v>186.96960000000001</v>
      </c>
      <c r="Q50" s="26">
        <f t="shared" si="20"/>
        <v>0.48620000000000002</v>
      </c>
      <c r="R50" s="26">
        <f t="shared" si="21"/>
        <v>7.7104888888888891E-4</v>
      </c>
      <c r="S50" s="44">
        <f t="shared" si="22"/>
        <v>1.0115000000000001</v>
      </c>
    </row>
    <row r="51" spans="1:21" hidden="1">
      <c r="A51" s="221">
        <f t="shared" si="11"/>
        <v>11</v>
      </c>
      <c r="B51" s="219" t="s">
        <v>6</v>
      </c>
      <c r="C51" s="196">
        <v>0</v>
      </c>
      <c r="D51" s="193">
        <v>0</v>
      </c>
      <c r="E51" s="194">
        <v>0</v>
      </c>
      <c r="F51" s="92" t="s">
        <v>33</v>
      </c>
      <c r="G51" s="192">
        <v>0</v>
      </c>
      <c r="H51" s="102">
        <f>IF(E51="","",E51-G51)</f>
        <v>0</v>
      </c>
      <c r="I51" s="100">
        <f>IF(E51="","",S51)</f>
        <v>1.0115000000000001</v>
      </c>
      <c r="J51" s="199">
        <f t="shared" si="23"/>
        <v>0.9</v>
      </c>
      <c r="K51" s="63">
        <f>IF(E51="","",H51*I51)</f>
        <v>0</v>
      </c>
      <c r="L51" s="107">
        <f>IF(A51="","",ROUND(SUM(K51*J51),3))</f>
        <v>0</v>
      </c>
      <c r="M51" s="108">
        <f>(J51-0.0011)*K51</f>
        <v>0</v>
      </c>
      <c r="N51" s="43">
        <f>D51-15</f>
        <v>-15</v>
      </c>
      <c r="O51" s="26">
        <f>J51*1000</f>
        <v>900</v>
      </c>
      <c r="P51" s="26">
        <f>IF(J51&gt;0.8385,186.9696,IF(J51&gt;0.7875,594.5418,IF(J51&gt;0.77,2680.3206,346.4228)))</f>
        <v>186.96960000000001</v>
      </c>
      <c r="Q51" s="26">
        <f>IF(J51&gt;0.8385,0.4862,IF(J51&gt;0.7875,0,IF(J51&gt;0.77,-0.00336312,0.4388)))</f>
        <v>0.48620000000000002</v>
      </c>
      <c r="R51" s="26">
        <f>IF(OR(J51&gt;0.7876,J51=0.7876),(P51/O51^2)+(Q51/O51),IF(OR(J51&gt;0.7701,J51=0.7701),(P51/O51^2)+Q51,(P51/O51^2)+(Q51/O51)))</f>
        <v>7.7104888888888891E-4</v>
      </c>
      <c r="S51" s="44">
        <f>ROUND(EXP(-R51*N51*(1+0.8*R51*N51)),4)</f>
        <v>1.0115000000000001</v>
      </c>
    </row>
    <row r="52" spans="1:21" ht="13.5" hidden="1" thickBot="1">
      <c r="A52" s="221">
        <f t="shared" si="11"/>
        <v>12</v>
      </c>
      <c r="B52" s="219" t="s">
        <v>6</v>
      </c>
      <c r="C52" s="196">
        <v>0</v>
      </c>
      <c r="D52" s="193">
        <v>0</v>
      </c>
      <c r="E52" s="194">
        <v>0</v>
      </c>
      <c r="F52" s="113" t="s">
        <v>33</v>
      </c>
      <c r="G52" s="114">
        <v>0</v>
      </c>
      <c r="H52" s="103">
        <f t="shared" si="12"/>
        <v>0</v>
      </c>
      <c r="I52" s="101">
        <f t="shared" si="13"/>
        <v>1.0115000000000001</v>
      </c>
      <c r="J52" s="199">
        <f t="shared" si="23"/>
        <v>0.9</v>
      </c>
      <c r="K52" s="93">
        <f t="shared" si="14"/>
        <v>0</v>
      </c>
      <c r="L52" s="109">
        <f t="shared" si="15"/>
        <v>0</v>
      </c>
      <c r="M52" s="110">
        <f t="shared" si="16"/>
        <v>0</v>
      </c>
      <c r="N52" s="43">
        <f t="shared" si="17"/>
        <v>-15</v>
      </c>
      <c r="O52" s="26">
        <f t="shared" si="18"/>
        <v>900</v>
      </c>
      <c r="P52" s="26">
        <f t="shared" si="19"/>
        <v>186.96960000000001</v>
      </c>
      <c r="Q52" s="26">
        <f t="shared" si="20"/>
        <v>0.48620000000000002</v>
      </c>
      <c r="R52" s="26">
        <f t="shared" si="21"/>
        <v>7.7104888888888891E-4</v>
      </c>
      <c r="S52" s="44">
        <f t="shared" si="22"/>
        <v>1.0115000000000001</v>
      </c>
    </row>
    <row r="53" spans="1:21" ht="13.5" thickBot="1">
      <c r="A53" s="356" t="s">
        <v>41</v>
      </c>
      <c r="B53" s="357"/>
      <c r="C53" s="357"/>
      <c r="D53" s="357"/>
      <c r="E53" s="358"/>
      <c r="F53" s="111"/>
      <c r="G53" s="111"/>
      <c r="H53" s="185">
        <f>SUM(H41:H52)</f>
        <v>1377.9019999999998</v>
      </c>
      <c r="I53" s="83"/>
      <c r="J53" s="79"/>
      <c r="K53" s="170">
        <f>SUM(K41:K52)</f>
        <v>1351.7408402999999</v>
      </c>
      <c r="L53" s="187">
        <f>SUM(L41:L52)</f>
        <v>1267.1579999999997</v>
      </c>
      <c r="M53" s="188">
        <f>SUM(M41:M52)</f>
        <v>1265.6720026071898</v>
      </c>
      <c r="N53" s="42">
        <f>SUM(N41:N52)</f>
        <v>143</v>
      </c>
    </row>
    <row r="54" spans="1:21">
      <c r="H54" s="78"/>
      <c r="I54" s="47"/>
      <c r="J54" s="47"/>
      <c r="K54" s="78"/>
      <c r="L54" s="46"/>
      <c r="M54" s="46"/>
      <c r="N54" s="42"/>
    </row>
    <row r="55" spans="1:21">
      <c r="N55" s="46"/>
    </row>
    <row r="56" spans="1:21">
      <c r="A56" s="25" t="s">
        <v>42</v>
      </c>
      <c r="N56" s="44"/>
    </row>
    <row r="57" spans="1:21">
      <c r="A57" s="26" t="s">
        <v>43</v>
      </c>
      <c r="C57" s="332" t="s">
        <v>164</v>
      </c>
      <c r="D57" s="332"/>
      <c r="E57" s="332"/>
      <c r="F57" s="332"/>
      <c r="G57" s="332"/>
      <c r="H57" s="332"/>
      <c r="I57" s="332"/>
      <c r="J57" s="332"/>
      <c r="K57" s="377" t="s">
        <v>44</v>
      </c>
      <c r="L57" s="377"/>
      <c r="M57" s="377"/>
    </row>
    <row r="58" spans="1:21" ht="14.25">
      <c r="A58" s="26" t="s">
        <v>45</v>
      </c>
      <c r="C58" s="332" t="s">
        <v>46</v>
      </c>
      <c r="D58" s="332"/>
      <c r="E58" s="332"/>
      <c r="F58" s="332"/>
      <c r="G58" s="332"/>
      <c r="H58" s="332"/>
      <c r="I58" s="332"/>
      <c r="J58" s="332"/>
      <c r="K58" s="164" t="s">
        <v>47</v>
      </c>
      <c r="L58" s="240">
        <v>900.02200000000005</v>
      </c>
      <c r="M58" s="164" t="s">
        <v>48</v>
      </c>
      <c r="O58" s="34"/>
    </row>
    <row r="59" spans="1:21" ht="14.25">
      <c r="A59" s="26" t="s">
        <v>49</v>
      </c>
      <c r="C59" s="274" t="s">
        <v>6</v>
      </c>
      <c r="D59" s="274"/>
      <c r="E59" s="274"/>
      <c r="F59" s="274"/>
      <c r="G59" s="274"/>
      <c r="H59" s="274"/>
      <c r="I59" s="274"/>
      <c r="J59" s="274"/>
      <c r="K59" s="165" t="s">
        <v>50</v>
      </c>
      <c r="L59" s="189">
        <f>M53-M33</f>
        <v>900.14075861522974</v>
      </c>
      <c r="M59" s="165" t="s">
        <v>48</v>
      </c>
    </row>
    <row r="60" spans="1:21" ht="14.25">
      <c r="A60" s="26" t="s">
        <v>51</v>
      </c>
      <c r="C60" s="274" t="s">
        <v>52</v>
      </c>
      <c r="D60" s="274"/>
      <c r="E60" s="274"/>
      <c r="F60" s="274"/>
      <c r="G60" s="274"/>
      <c r="H60" s="274"/>
      <c r="I60" s="274"/>
      <c r="J60" s="274"/>
      <c r="K60" s="168" t="s">
        <v>53</v>
      </c>
      <c r="L60" s="169">
        <f>L59-L58</f>
        <v>0.11875861522969444</v>
      </c>
      <c r="M60" s="168" t="s">
        <v>48</v>
      </c>
    </row>
    <row r="61" spans="1:21" ht="14.25">
      <c r="F61" s="116"/>
      <c r="G61" s="116"/>
      <c r="H61" s="116"/>
      <c r="K61" s="166"/>
      <c r="L61" s="167">
        <f>(L60/L58)*100</f>
        <v>1.3195079145809151E-2</v>
      </c>
      <c r="M61" s="166" t="s">
        <v>54</v>
      </c>
    </row>
    <row r="62" spans="1:21" ht="15.75">
      <c r="E62" s="372"/>
      <c r="F62" s="372"/>
      <c r="G62" s="372"/>
      <c r="H62" s="47"/>
      <c r="I62" s="47"/>
      <c r="U62" s="47"/>
    </row>
    <row r="63" spans="1:21">
      <c r="B63" s="65"/>
      <c r="C63" s="65"/>
      <c r="D63" s="65"/>
      <c r="I63" s="65"/>
      <c r="J63" s="65"/>
      <c r="N63" s="333"/>
      <c r="O63" s="333"/>
      <c r="U63" s="47"/>
    </row>
    <row r="64" spans="1:21" ht="12.75" customHeight="1">
      <c r="E64" s="117"/>
    </row>
    <row r="65" spans="2:13" ht="12.75" customHeight="1">
      <c r="B65" s="117"/>
      <c r="C65" s="117"/>
      <c r="D65" s="117"/>
      <c r="E65" s="117"/>
      <c r="F65" s="117"/>
      <c r="G65" s="117"/>
      <c r="H65" s="117"/>
      <c r="I65" s="117"/>
      <c r="J65" s="117"/>
    </row>
    <row r="66" spans="2:13" ht="12.75" customHeight="1">
      <c r="E66" s="117"/>
    </row>
    <row r="67" spans="2:13" ht="15.75"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75"/>
    </row>
    <row r="68" spans="2:13" ht="15.75">
      <c r="B68" s="117"/>
      <c r="C68" s="117"/>
      <c r="D68" s="117"/>
      <c r="E68" s="117"/>
      <c r="F68" s="117"/>
      <c r="G68" s="117"/>
      <c r="H68" s="117"/>
      <c r="I68" s="117"/>
      <c r="J68" s="117"/>
      <c r="K68"/>
      <c r="L68" s="117"/>
      <c r="M68" s="75"/>
    </row>
    <row r="69" spans="2:13" ht="15.75"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75"/>
    </row>
    <row r="74" spans="2:13">
      <c r="B74" s="39" t="s">
        <v>55</v>
      </c>
      <c r="C74" s="39"/>
      <c r="D74" s="369" t="s">
        <v>166</v>
      </c>
      <c r="E74" s="369"/>
      <c r="F74" s="369"/>
      <c r="J74" s="39" t="s">
        <v>56</v>
      </c>
      <c r="K74" s="361" t="s">
        <v>165</v>
      </c>
      <c r="L74" s="361"/>
      <c r="M74" s="361"/>
    </row>
  </sheetData>
  <sheetProtection selectLockedCells="1"/>
  <mergeCells count="51">
    <mergeCell ref="I11:K11"/>
    <mergeCell ref="C57:J57"/>
    <mergeCell ref="C58:J58"/>
    <mergeCell ref="C59:J59"/>
    <mergeCell ref="C60:J60"/>
    <mergeCell ref="B39:B40"/>
    <mergeCell ref="K74:M74"/>
    <mergeCell ref="L38:M38"/>
    <mergeCell ref="L39:L40"/>
    <mergeCell ref="M39:M40"/>
    <mergeCell ref="A53:E53"/>
    <mergeCell ref="I39:I40"/>
    <mergeCell ref="D74:F74"/>
    <mergeCell ref="H39:H40"/>
    <mergeCell ref="E62:G62"/>
    <mergeCell ref="E39:E40"/>
    <mergeCell ref="A39:A40"/>
    <mergeCell ref="K39:K40"/>
    <mergeCell ref="K57:M57"/>
    <mergeCell ref="N63:O63"/>
    <mergeCell ref="F39:G39"/>
    <mergeCell ref="F19:G19"/>
    <mergeCell ref="C19:C20"/>
    <mergeCell ref="E19:E20"/>
    <mergeCell ref="H19:H20"/>
    <mergeCell ref="K19:K20"/>
    <mergeCell ref="I19:I20"/>
    <mergeCell ref="D39:D40"/>
    <mergeCell ref="C39:C40"/>
    <mergeCell ref="D19:D20"/>
    <mergeCell ref="I33:J33"/>
    <mergeCell ref="F33:G33"/>
    <mergeCell ref="A33:E33"/>
    <mergeCell ref="J19:J20"/>
    <mergeCell ref="J39:J40"/>
    <mergeCell ref="G2:M2"/>
    <mergeCell ref="G3:M3"/>
    <mergeCell ref="G4:M4"/>
    <mergeCell ref="G5:K5"/>
    <mergeCell ref="L19:L20"/>
    <mergeCell ref="M19:M20"/>
    <mergeCell ref="A6:K6"/>
    <mergeCell ref="C11:D11"/>
    <mergeCell ref="L18:M18"/>
    <mergeCell ref="A19:A20"/>
    <mergeCell ref="B19:B20"/>
    <mergeCell ref="C8:D8"/>
    <mergeCell ref="C10:D10"/>
    <mergeCell ref="I8:K8"/>
    <mergeCell ref="I9:K9"/>
    <mergeCell ref="I10:K10"/>
  </mergeCells>
  <phoneticPr fontId="0" type="noConversion"/>
  <hyperlinks>
    <hyperlink ref="G4" r:id="rId1" xr:uid="{00000000-0004-0000-0000-000000000000}"/>
  </hyperlinks>
  <printOptions horizontalCentered="1"/>
  <pageMargins left="0.31496062992125984" right="0.23622047244094491" top="0.98425196850393704" bottom="0.98425196850393704" header="0.51181102362204722" footer="0.51181102362204722"/>
  <pageSetup paperSize="9" scale="71" orientation="portrait" blackAndWhite="1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69"/>
  <sheetViews>
    <sheetView showGridLines="0" tabSelected="1" topLeftCell="A15" zoomScaleNormal="100" zoomScaleSheetLayoutView="100" workbookViewId="0">
      <selection activeCell="Y28" sqref="Y28"/>
    </sheetView>
  </sheetViews>
  <sheetFormatPr defaultColWidth="9.1328125" defaultRowHeight="13.15"/>
  <cols>
    <col min="1" max="1" width="1" style="26" customWidth="1"/>
    <col min="2" max="2" width="9.3984375" style="26" customWidth="1"/>
    <col min="3" max="3" width="7.73046875" style="26" customWidth="1"/>
    <col min="4" max="4" width="8" style="26" customWidth="1"/>
    <col min="5" max="5" width="8.3984375" style="26" customWidth="1"/>
    <col min="6" max="6" width="9.3984375" style="26" customWidth="1"/>
    <col min="7" max="7" width="5" style="26" customWidth="1"/>
    <col min="8" max="8" width="7" style="26" customWidth="1"/>
    <col min="9" max="9" width="9.265625" style="26" customWidth="1"/>
    <col min="10" max="10" width="9.86328125" style="26" customWidth="1"/>
    <col min="11" max="11" width="11.1328125" style="26" customWidth="1"/>
    <col min="12" max="12" width="10.1328125" style="26" customWidth="1"/>
    <col min="13" max="13" width="9.265625" style="26" customWidth="1"/>
    <col min="14" max="14" width="8.86328125" style="26" bestFit="1" customWidth="1"/>
    <col min="15" max="15" width="10.3984375" style="26" hidden="1" customWidth="1"/>
    <col min="16" max="16" width="10.86328125" style="26" hidden="1" customWidth="1"/>
    <col min="17" max="17" width="9.86328125" style="26" hidden="1" customWidth="1"/>
    <col min="18" max="18" width="11.1328125" style="26" hidden="1" customWidth="1"/>
    <col min="19" max="19" width="11.73046875" style="26" hidden="1" customWidth="1"/>
    <col min="20" max="20" width="8.59765625" style="26" hidden="1" customWidth="1"/>
    <col min="21" max="21" width="4.86328125" style="26" hidden="1" customWidth="1"/>
    <col min="22" max="22" width="9.1328125" style="26"/>
    <col min="23" max="26" width="9.1328125" style="26" customWidth="1"/>
    <col min="27" max="16384" width="9.1328125" style="26"/>
  </cols>
  <sheetData>
    <row r="1" spans="2:14" ht="12.75" customHeight="1">
      <c r="B1" s="25"/>
      <c r="C1" s="25"/>
      <c r="D1" s="25"/>
      <c r="E1" s="25"/>
      <c r="F1" s="25"/>
      <c r="G1" s="25"/>
      <c r="H1" s="273"/>
      <c r="I1" s="273"/>
      <c r="J1" s="273"/>
      <c r="K1" s="273"/>
      <c r="L1" s="273"/>
      <c r="M1" s="273"/>
      <c r="N1" s="76"/>
    </row>
    <row r="2" spans="2:14" ht="12.75" customHeight="1">
      <c r="B2" s="25"/>
      <c r="C2" s="25"/>
      <c r="D2" s="25"/>
      <c r="E2" s="25"/>
      <c r="F2" s="25"/>
      <c r="G2" s="25"/>
      <c r="H2" s="273" t="s">
        <v>0</v>
      </c>
      <c r="I2" s="273"/>
      <c r="J2" s="273"/>
      <c r="K2" s="273"/>
      <c r="L2" s="273"/>
      <c r="M2" s="273"/>
      <c r="N2" s="273"/>
    </row>
    <row r="3" spans="2:14" ht="12.75" customHeight="1">
      <c r="B3" s="49"/>
      <c r="C3" s="49"/>
      <c r="D3" s="49"/>
      <c r="E3" s="49"/>
      <c r="F3" s="49"/>
      <c r="G3" s="49"/>
      <c r="H3" s="147"/>
      <c r="I3" s="282" t="s">
        <v>1</v>
      </c>
      <c r="J3" s="282"/>
      <c r="K3" s="282"/>
      <c r="L3" s="282"/>
      <c r="M3" s="282"/>
      <c r="N3" s="282"/>
    </row>
    <row r="4" spans="2:14" ht="12.75" customHeight="1">
      <c r="B4" s="49"/>
      <c r="C4" s="49"/>
      <c r="D4" s="49"/>
      <c r="E4" s="49"/>
      <c r="F4" s="49"/>
      <c r="G4" s="49"/>
      <c r="H4" s="283" t="s">
        <v>2</v>
      </c>
      <c r="I4" s="283"/>
      <c r="J4" s="283"/>
      <c r="K4" s="283"/>
      <c r="L4" s="283"/>
      <c r="M4" s="283"/>
      <c r="N4" s="283"/>
    </row>
    <row r="5" spans="2:14" ht="12.75" customHeight="1">
      <c r="B5" s="49"/>
      <c r="C5" s="49"/>
      <c r="D5" s="49"/>
      <c r="E5" s="49"/>
      <c r="F5" s="49"/>
      <c r="G5" s="49"/>
      <c r="H5" s="284"/>
      <c r="I5" s="284"/>
      <c r="J5" s="284"/>
      <c r="K5" s="284"/>
      <c r="L5" s="284"/>
      <c r="M5" s="284"/>
      <c r="N5" s="77"/>
    </row>
    <row r="6" spans="2:14" ht="12.75" customHeight="1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2:14">
      <c r="B7" s="275" t="s">
        <v>57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</row>
    <row r="9" spans="2:14">
      <c r="B9" s="26" t="s">
        <v>4</v>
      </c>
      <c r="D9" s="26" t="str">
        <f>'Vessel Ullage'!C8</f>
        <v>Elite Star</v>
      </c>
      <c r="H9" s="35" t="s">
        <v>5</v>
      </c>
      <c r="J9" s="26" t="str">
        <f>'Vessel Ullage'!I8</f>
        <v>VLSFO</v>
      </c>
    </row>
    <row r="10" spans="2:14">
      <c r="H10" s="26" t="s">
        <v>7</v>
      </c>
      <c r="J10" s="26" t="str">
        <f>'Vessel Ullage'!I9</f>
        <v>Santos Port - Tiplam Terminal</v>
      </c>
    </row>
    <row r="11" spans="2:14">
      <c r="B11" s="26" t="s">
        <v>8</v>
      </c>
      <c r="D11" s="57" t="str">
        <f>'Vessel Ullage'!C10</f>
        <v>SC 60</v>
      </c>
      <c r="E11" s="57"/>
      <c r="H11" s="26" t="str">
        <f>'Vessel Ullage'!G10</f>
        <v>Survey Start:</v>
      </c>
      <c r="J11" s="26" t="str">
        <f>'Vessel Ullage'!I10</f>
        <v>February 19th, 2026 - 08:00 lt</v>
      </c>
    </row>
    <row r="12" spans="2:14">
      <c r="D12" s="274"/>
      <c r="E12" s="274"/>
      <c r="H12" s="26" t="str">
        <f>'Vessel Ullage'!G11</f>
        <v>Survey Completed:</v>
      </c>
      <c r="J12" s="26" t="str">
        <f>'Vessel Ullage'!I11</f>
        <v>February 19th, 2026 - 21:00h lt</v>
      </c>
    </row>
    <row r="13" spans="2:14">
      <c r="J13" s="274"/>
      <c r="K13" s="274"/>
      <c r="L13" s="274"/>
    </row>
    <row r="14" spans="2:14">
      <c r="J14" s="33"/>
      <c r="K14" s="33"/>
      <c r="L14" s="33"/>
    </row>
    <row r="15" spans="2:14" ht="13.5" thickBot="1"/>
    <row r="16" spans="2:14" ht="15" thickBot="1">
      <c r="B16" s="300" t="s">
        <v>58</v>
      </c>
      <c r="C16" s="301"/>
      <c r="D16" s="301"/>
      <c r="E16" s="301"/>
      <c r="F16" s="301"/>
      <c r="G16" s="301"/>
      <c r="H16" s="301"/>
      <c r="I16" s="302"/>
      <c r="J16" s="149" t="s">
        <v>59</v>
      </c>
      <c r="K16" s="289" t="s">
        <v>52</v>
      </c>
      <c r="L16" s="290"/>
      <c r="M16" s="290"/>
      <c r="N16" s="124" t="s">
        <v>60</v>
      </c>
    </row>
    <row r="17" spans="2:20" s="50" customFormat="1" ht="13.5" thickBot="1">
      <c r="B17" s="27" t="s">
        <v>12</v>
      </c>
      <c r="C17" s="243">
        <v>4.1500000000000004</v>
      </c>
      <c r="D17" s="28" t="s">
        <v>13</v>
      </c>
      <c r="E17" s="28" t="s">
        <v>14</v>
      </c>
      <c r="F17" s="244">
        <v>4.1500000000000004</v>
      </c>
      <c r="G17" s="28" t="s">
        <v>13</v>
      </c>
      <c r="H17" s="28" t="s">
        <v>15</v>
      </c>
      <c r="I17" s="245">
        <v>0</v>
      </c>
      <c r="J17" s="49" t="s">
        <v>16</v>
      </c>
      <c r="K17" s="25"/>
      <c r="L17" s="257" t="s">
        <v>61</v>
      </c>
      <c r="M17" s="315" t="s">
        <v>18</v>
      </c>
      <c r="N17" s="316"/>
      <c r="O17" s="26"/>
      <c r="P17" s="26"/>
      <c r="Q17" s="26"/>
      <c r="R17" s="26"/>
      <c r="S17" s="26"/>
      <c r="T17" s="26"/>
    </row>
    <row r="18" spans="2:20" s="35" customFormat="1">
      <c r="B18" s="276" t="s">
        <v>19</v>
      </c>
      <c r="C18" s="313" t="s">
        <v>20</v>
      </c>
      <c r="D18" s="278" t="s">
        <v>62</v>
      </c>
      <c r="E18" s="278" t="s">
        <v>38</v>
      </c>
      <c r="F18" s="280" t="s">
        <v>63</v>
      </c>
      <c r="G18" s="287" t="s">
        <v>24</v>
      </c>
      <c r="H18" s="288"/>
      <c r="I18" s="278" t="s">
        <v>25</v>
      </c>
      <c r="J18" s="278" t="s">
        <v>26</v>
      </c>
      <c r="K18" s="278" t="s">
        <v>64</v>
      </c>
      <c r="L18" s="285" t="s">
        <v>65</v>
      </c>
      <c r="M18" s="318" t="s">
        <v>29</v>
      </c>
      <c r="N18" s="320" t="s">
        <v>30</v>
      </c>
      <c r="O18" s="26"/>
      <c r="P18" s="26"/>
      <c r="Q18" s="26"/>
      <c r="R18" s="26"/>
      <c r="S18" s="26"/>
      <c r="T18" s="26"/>
    </row>
    <row r="19" spans="2:20" s="35" customFormat="1" ht="13.5" thickBot="1">
      <c r="B19" s="277"/>
      <c r="C19" s="314"/>
      <c r="D19" s="279"/>
      <c r="E19" s="279"/>
      <c r="F19" s="281"/>
      <c r="G19" s="246" t="s">
        <v>31</v>
      </c>
      <c r="H19" s="246" t="s">
        <v>32</v>
      </c>
      <c r="I19" s="279"/>
      <c r="J19" s="279"/>
      <c r="K19" s="279"/>
      <c r="L19" s="286"/>
      <c r="M19" s="319"/>
      <c r="N19" s="321"/>
      <c r="O19" s="26"/>
      <c r="P19" s="26"/>
      <c r="Q19" s="26"/>
      <c r="R19" s="26"/>
      <c r="S19" s="26"/>
      <c r="T19" s="26"/>
    </row>
    <row r="20" spans="2:20">
      <c r="B20" s="129" t="s">
        <v>66</v>
      </c>
      <c r="C20" s="247" t="s">
        <v>6</v>
      </c>
      <c r="D20" s="232">
        <v>1.65</v>
      </c>
      <c r="E20" s="236">
        <v>46</v>
      </c>
      <c r="F20" s="232">
        <v>336.56599999999997</v>
      </c>
      <c r="G20" s="247" t="s">
        <v>33</v>
      </c>
      <c r="H20" s="152">
        <v>0</v>
      </c>
      <c r="I20" s="248">
        <f t="shared" ref="I20:I29" si="0">IF(F20="","",F20-H20)</f>
        <v>336.56599999999997</v>
      </c>
      <c r="J20" s="249">
        <f t="shared" ref="J20:J29" si="1">IF(F20="","",T20)</f>
        <v>0.97729999999999995</v>
      </c>
      <c r="K20" s="250">
        <v>0.94099999999999995</v>
      </c>
      <c r="L20" s="258">
        <f t="shared" ref="L20:L29" si="2">IF(F20="","",I20*J20)</f>
        <v>328.92595179999995</v>
      </c>
      <c r="M20" s="259">
        <f t="shared" ref="M20:M29" si="3">IF(B20="","",ROUND(SUM(L20*K20),3))</f>
        <v>309.51900000000001</v>
      </c>
      <c r="N20" s="260">
        <f t="shared" ref="N20:N29" si="4">(K20-0.0011)*L20</f>
        <v>309.15750209681994</v>
      </c>
      <c r="O20" s="43">
        <f>IF(E20="","",E20-15)</f>
        <v>31</v>
      </c>
      <c r="P20" s="26">
        <f t="shared" ref="P20:P29" si="5">K20*1000</f>
        <v>941</v>
      </c>
      <c r="Q20" s="26">
        <f t="shared" ref="Q20:Q29" si="6">IF(K20&gt;0.8385,186.9696,IF(K20&gt;0.7875,594.5418,IF(K20&gt;0.77,2680.3206,346.4228)))</f>
        <v>186.96960000000001</v>
      </c>
      <c r="R20" s="26">
        <f t="shared" ref="R20:R29" si="7">IF(K20&gt;0.8385,0.4862,IF(K20&gt;0.7875,0,IF(K20&gt;0.77,-0.00336312,0.4388)))</f>
        <v>0.48620000000000002</v>
      </c>
      <c r="S20" s="26">
        <f t="shared" ref="S20:S29" si="8">IF(OR(K20&gt;0.7876,K20=0.7876),(Q20/P20^2)+(R20/P20),IF(OR(K20&gt;0.7701,K20=0.7701),(Q20/P20^2)+R20,(Q20/P20^2)+(R20/P20)))</f>
        <v>7.2783470226916221E-4</v>
      </c>
      <c r="T20" s="44">
        <f t="shared" ref="T20:T29" si="9">ROUND(EXP(-S20*O20*(1+0.8*S20*O20)),4)</f>
        <v>0.97729999999999995</v>
      </c>
    </row>
    <row r="21" spans="2:20">
      <c r="B21" s="125" t="s">
        <v>67</v>
      </c>
      <c r="C21" s="251" t="s">
        <v>6</v>
      </c>
      <c r="D21" s="235">
        <v>1.6850000000000001</v>
      </c>
      <c r="E21" s="237">
        <v>46</v>
      </c>
      <c r="F21" s="235">
        <v>333.95600000000002</v>
      </c>
      <c r="G21" s="251" t="s">
        <v>33</v>
      </c>
      <c r="H21" s="98">
        <v>0</v>
      </c>
      <c r="I21" s="252">
        <f t="shared" si="0"/>
        <v>333.95600000000002</v>
      </c>
      <c r="J21" s="249">
        <f t="shared" si="1"/>
        <v>0.97729999999999995</v>
      </c>
      <c r="K21" s="250">
        <v>0.94099999999999995</v>
      </c>
      <c r="L21" s="138">
        <f t="shared" si="2"/>
        <v>326.37519880000002</v>
      </c>
      <c r="M21" s="261">
        <f t="shared" si="3"/>
        <v>307.11900000000003</v>
      </c>
      <c r="N21" s="262">
        <f t="shared" si="4"/>
        <v>306.76004935212001</v>
      </c>
      <c r="O21" s="43">
        <f t="shared" ref="O21:O29" si="10">E21-15</f>
        <v>31</v>
      </c>
      <c r="P21" s="26">
        <f t="shared" si="5"/>
        <v>941</v>
      </c>
      <c r="Q21" s="26">
        <f t="shared" si="6"/>
        <v>186.96960000000001</v>
      </c>
      <c r="R21" s="26">
        <f t="shared" si="7"/>
        <v>0.48620000000000002</v>
      </c>
      <c r="S21" s="26">
        <f t="shared" si="8"/>
        <v>7.2783470226916221E-4</v>
      </c>
      <c r="T21" s="44">
        <f t="shared" si="9"/>
        <v>0.97729999999999995</v>
      </c>
    </row>
    <row r="22" spans="2:20">
      <c r="B22" s="125" t="s">
        <v>68</v>
      </c>
      <c r="C22" s="251" t="s">
        <v>6</v>
      </c>
      <c r="D22" s="235">
        <v>1.6919999999999999</v>
      </c>
      <c r="E22" s="237">
        <v>46.5</v>
      </c>
      <c r="F22" s="235">
        <v>406.42700000000002</v>
      </c>
      <c r="G22" s="251" t="s">
        <v>33</v>
      </c>
      <c r="H22" s="98">
        <v>0</v>
      </c>
      <c r="I22" s="252">
        <f t="shared" si="0"/>
        <v>406.42700000000002</v>
      </c>
      <c r="J22" s="249">
        <f t="shared" si="1"/>
        <v>0.97689999999999999</v>
      </c>
      <c r="K22" s="250">
        <v>0.94099999999999995</v>
      </c>
      <c r="L22" s="138">
        <f t="shared" si="2"/>
        <v>397.03853630000003</v>
      </c>
      <c r="M22" s="261">
        <f t="shared" si="3"/>
        <v>373.613</v>
      </c>
      <c r="N22" s="262">
        <f t="shared" si="4"/>
        <v>373.17652026837004</v>
      </c>
      <c r="O22" s="43">
        <f t="shared" si="10"/>
        <v>31.5</v>
      </c>
      <c r="P22" s="26">
        <f t="shared" si="5"/>
        <v>941</v>
      </c>
      <c r="Q22" s="26">
        <f t="shared" si="6"/>
        <v>186.96960000000001</v>
      </c>
      <c r="R22" s="26">
        <f t="shared" si="7"/>
        <v>0.48620000000000002</v>
      </c>
      <c r="S22" s="26">
        <f t="shared" si="8"/>
        <v>7.2783470226916221E-4</v>
      </c>
      <c r="T22" s="44">
        <f t="shared" si="9"/>
        <v>0.97689999999999999</v>
      </c>
    </row>
    <row r="23" spans="2:20">
      <c r="B23" s="125" t="s">
        <v>69</v>
      </c>
      <c r="C23" s="251" t="s">
        <v>6</v>
      </c>
      <c r="D23" s="235">
        <v>1.7</v>
      </c>
      <c r="E23" s="237">
        <v>46.5</v>
      </c>
      <c r="F23" s="235">
        <v>403.101</v>
      </c>
      <c r="G23" s="251" t="s">
        <v>33</v>
      </c>
      <c r="H23" s="98">
        <v>0</v>
      </c>
      <c r="I23" s="252">
        <f t="shared" si="0"/>
        <v>403.101</v>
      </c>
      <c r="J23" s="249">
        <f t="shared" si="1"/>
        <v>0.97689999999999999</v>
      </c>
      <c r="K23" s="250">
        <v>0.94099999999999995</v>
      </c>
      <c r="L23" s="138">
        <f t="shared" si="2"/>
        <v>393.7893669</v>
      </c>
      <c r="M23" s="261">
        <f t="shared" si="3"/>
        <v>370.55599999999998</v>
      </c>
      <c r="N23" s="262">
        <f t="shared" si="4"/>
        <v>370.12262594930996</v>
      </c>
      <c r="O23" s="43">
        <f t="shared" si="10"/>
        <v>31.5</v>
      </c>
      <c r="P23" s="26">
        <f t="shared" si="5"/>
        <v>941</v>
      </c>
      <c r="Q23" s="26">
        <f t="shared" si="6"/>
        <v>186.96960000000001</v>
      </c>
      <c r="R23" s="26">
        <f t="shared" si="7"/>
        <v>0.48620000000000002</v>
      </c>
      <c r="S23" s="26">
        <f t="shared" si="8"/>
        <v>7.2783470226916221E-4</v>
      </c>
      <c r="T23" s="44">
        <f t="shared" si="9"/>
        <v>0.97689999999999999</v>
      </c>
    </row>
    <row r="24" spans="2:20">
      <c r="B24" s="125" t="s">
        <v>70</v>
      </c>
      <c r="C24" s="251" t="s">
        <v>6</v>
      </c>
      <c r="D24" s="235">
        <v>1.431</v>
      </c>
      <c r="E24" s="237">
        <v>46.5</v>
      </c>
      <c r="F24" s="235">
        <v>431.79599999999999</v>
      </c>
      <c r="G24" s="251" t="s">
        <v>33</v>
      </c>
      <c r="H24" s="98">
        <v>0</v>
      </c>
      <c r="I24" s="252">
        <f>IF(F24="","",F24-H24)</f>
        <v>431.79599999999999</v>
      </c>
      <c r="J24" s="249">
        <f t="shared" si="1"/>
        <v>0.97689999999999999</v>
      </c>
      <c r="K24" s="250">
        <v>0.94099999999999995</v>
      </c>
      <c r="L24" s="138">
        <f>IF(F24="","",I24*J24)</f>
        <v>421.82151239999996</v>
      </c>
      <c r="M24" s="261">
        <f>IF(B24="","",ROUND(SUM(L24*K24),3))</f>
        <v>396.93400000000003</v>
      </c>
      <c r="N24" s="262">
        <f>(K24-0.0011)*L24</f>
        <v>396.47003950475994</v>
      </c>
      <c r="O24" s="43">
        <f t="shared" si="10"/>
        <v>31.5</v>
      </c>
      <c r="P24" s="26">
        <f>K24*1000</f>
        <v>941</v>
      </c>
      <c r="Q24" s="26">
        <f>IF(K24&gt;0.8385,186.9696,IF(K24&gt;0.7875,594.5418,IF(K24&gt;0.77,2680.3206,346.4228)))</f>
        <v>186.96960000000001</v>
      </c>
      <c r="R24" s="26">
        <f>IF(K24&gt;0.8385,0.4862,IF(K24&gt;0.7875,0,IF(K24&gt;0.77,-0.00336312,0.4388)))</f>
        <v>0.48620000000000002</v>
      </c>
      <c r="S24" s="26">
        <f>IF(OR(K24&gt;0.7876,K24=0.7876),(Q24/P24^2)+(R24/P24),IF(OR(K24&gt;0.7701,K24=0.7701),(Q24/P24^2)+R24,(Q24/P24^2)+(R24/P24)))</f>
        <v>7.2783470226916221E-4</v>
      </c>
      <c r="T24" s="44">
        <f>ROUND(EXP(-S24*O24*(1+0.8*S24*O24)),4)</f>
        <v>0.97689999999999999</v>
      </c>
    </row>
    <row r="25" spans="2:20">
      <c r="B25" s="125" t="s">
        <v>71</v>
      </c>
      <c r="C25" s="251" t="s">
        <v>6</v>
      </c>
      <c r="D25" s="235">
        <v>1.472</v>
      </c>
      <c r="E25" s="237">
        <v>46</v>
      </c>
      <c r="F25" s="235">
        <v>426.68400000000003</v>
      </c>
      <c r="G25" s="251" t="s">
        <v>33</v>
      </c>
      <c r="H25" s="98">
        <v>0</v>
      </c>
      <c r="I25" s="252">
        <f>IF(F25="","",F25-H25)</f>
        <v>426.68400000000003</v>
      </c>
      <c r="J25" s="249">
        <f t="shared" si="1"/>
        <v>0.97729999999999995</v>
      </c>
      <c r="K25" s="250">
        <v>0.94099999999999995</v>
      </c>
      <c r="L25" s="138">
        <f>IF(F25="","",I25*J25)</f>
        <v>416.99827320000003</v>
      </c>
      <c r="M25" s="261">
        <f>IF(B25="","",ROUND(SUM(L25*K25),3))</f>
        <v>392.39499999999998</v>
      </c>
      <c r="N25" s="262">
        <f>(K25-0.0011)*L25</f>
        <v>391.93667698068003</v>
      </c>
      <c r="O25" s="43">
        <f t="shared" si="10"/>
        <v>31</v>
      </c>
      <c r="P25" s="26">
        <f>K25*1000</f>
        <v>941</v>
      </c>
      <c r="Q25" s="26">
        <f>IF(K25&gt;0.8385,186.9696,IF(K25&gt;0.7875,594.5418,IF(K25&gt;0.77,2680.3206,346.4228)))</f>
        <v>186.96960000000001</v>
      </c>
      <c r="R25" s="26">
        <f>IF(K25&gt;0.8385,0.4862,IF(K25&gt;0.7875,0,IF(K25&gt;0.77,-0.00336312,0.4388)))</f>
        <v>0.48620000000000002</v>
      </c>
      <c r="S25" s="26">
        <f>IF(OR(K25&gt;0.7876,K25=0.7876),(Q25/P25^2)+(R25/P25),IF(OR(K25&gt;0.7701,K25=0.7701),(Q25/P25^2)+R25,(Q25/P25^2)+(R25/P25)))</f>
        <v>7.2783470226916221E-4</v>
      </c>
      <c r="T25" s="44">
        <f>ROUND(EXP(-S25*O25*(1+0.8*S25*O25)),4)</f>
        <v>0.97729999999999995</v>
      </c>
    </row>
    <row r="26" spans="2:20">
      <c r="B26" s="125" t="s">
        <v>72</v>
      </c>
      <c r="C26" s="251" t="s">
        <v>6</v>
      </c>
      <c r="D26" s="235">
        <v>1.696</v>
      </c>
      <c r="E26" s="237">
        <v>47</v>
      </c>
      <c r="F26" s="235">
        <v>406.84399999999999</v>
      </c>
      <c r="G26" s="251" t="s">
        <v>33</v>
      </c>
      <c r="H26" s="98">
        <v>0</v>
      </c>
      <c r="I26" s="252">
        <f>IF(F26="","",F26-H26)</f>
        <v>406.84399999999999</v>
      </c>
      <c r="J26" s="249">
        <f t="shared" si="1"/>
        <v>0.97660000000000002</v>
      </c>
      <c r="K26" s="250">
        <v>0.94099999999999995</v>
      </c>
      <c r="L26" s="138">
        <f>IF(F26="","",I26*J26)</f>
        <v>397.32385040000003</v>
      </c>
      <c r="M26" s="261">
        <f>IF(B26="","",ROUND(SUM(L26*K26),3))</f>
        <v>373.88200000000001</v>
      </c>
      <c r="N26" s="262">
        <f>(K26-0.0011)*L26</f>
        <v>373.44468699096001</v>
      </c>
      <c r="O26" s="43">
        <f t="shared" ref="O26:O27" si="11">E26-15</f>
        <v>32</v>
      </c>
      <c r="P26" s="26">
        <f>K26*1000</f>
        <v>941</v>
      </c>
      <c r="Q26" s="26">
        <f>IF(K26&gt;0.8385,186.9696,IF(K26&gt;0.7875,594.5418,IF(K26&gt;0.77,2680.3206,346.4228)))</f>
        <v>186.96960000000001</v>
      </c>
      <c r="R26" s="26">
        <f>IF(K26&gt;0.8385,0.4862,IF(K26&gt;0.7875,0,IF(K26&gt;0.77,-0.00336312,0.4388)))</f>
        <v>0.48620000000000002</v>
      </c>
      <c r="S26" s="26">
        <f>IF(OR(K26&gt;0.7876,K26=0.7876),(Q26/P26^2)+(R26/P26),IF(OR(K26&gt;0.7701,K26=0.7701),(Q26/P26^2)+R26,(Q26/P26^2)+(R26/P26)))</f>
        <v>7.2783470226916221E-4</v>
      </c>
      <c r="T26" s="44">
        <f>ROUND(EXP(-S26*O26*(1+0.8*S26*O26)),4)</f>
        <v>0.97660000000000002</v>
      </c>
    </row>
    <row r="27" spans="2:20">
      <c r="B27" s="125" t="s">
        <v>73</v>
      </c>
      <c r="C27" s="251" t="s">
        <v>6</v>
      </c>
      <c r="D27" s="235">
        <v>1.696</v>
      </c>
      <c r="E27" s="237">
        <v>46.5</v>
      </c>
      <c r="F27" s="235">
        <v>406.69299999999998</v>
      </c>
      <c r="G27" s="251" t="s">
        <v>33</v>
      </c>
      <c r="H27" s="98">
        <v>0</v>
      </c>
      <c r="I27" s="252">
        <f>IF(F27="","",F27-H27)</f>
        <v>406.69299999999998</v>
      </c>
      <c r="J27" s="249">
        <f t="shared" si="1"/>
        <v>0.97689999999999999</v>
      </c>
      <c r="K27" s="250">
        <v>0.94099999999999995</v>
      </c>
      <c r="L27" s="138">
        <f>IF(F27="","",I27*J27)</f>
        <v>397.29839169999997</v>
      </c>
      <c r="M27" s="261">
        <f>IF(B27="","",ROUND(SUM(L27*K27),3))</f>
        <v>373.858</v>
      </c>
      <c r="N27" s="262">
        <f>(K27-0.0011)*L27</f>
        <v>373.42075835882997</v>
      </c>
      <c r="O27" s="43">
        <f t="shared" si="11"/>
        <v>31.5</v>
      </c>
      <c r="P27" s="26">
        <f>K27*1000</f>
        <v>941</v>
      </c>
      <c r="Q27" s="26">
        <f>IF(K27&gt;0.8385,186.9696,IF(K27&gt;0.7875,594.5418,IF(K27&gt;0.77,2680.3206,346.4228)))</f>
        <v>186.96960000000001</v>
      </c>
      <c r="R27" s="26">
        <f>IF(K27&gt;0.8385,0.4862,IF(K27&gt;0.7875,0,IF(K27&gt;0.77,-0.00336312,0.4388)))</f>
        <v>0.48620000000000002</v>
      </c>
      <c r="S27" s="26">
        <f>IF(OR(K27&gt;0.7876,K27=0.7876),(Q27/P27^2)+(R27/P27),IF(OR(K27&gt;0.7701,K27=0.7701),(Q27/P27^2)+R27,(Q27/P27^2)+(R27/P27)))</f>
        <v>7.2783470226916221E-4</v>
      </c>
      <c r="T27" s="44">
        <f>ROUND(EXP(-S27*O27*(1+0.8*S27*O27)),4)</f>
        <v>0.97689999999999999</v>
      </c>
    </row>
    <row r="28" spans="2:20">
      <c r="B28" s="125" t="s">
        <v>178</v>
      </c>
      <c r="C28" s="251" t="s">
        <v>6</v>
      </c>
      <c r="D28" s="235">
        <v>1.645</v>
      </c>
      <c r="E28" s="237">
        <v>46</v>
      </c>
      <c r="F28" s="235">
        <v>363.19900000000001</v>
      </c>
      <c r="G28" s="251" t="s">
        <v>33</v>
      </c>
      <c r="H28" s="98">
        <v>0</v>
      </c>
      <c r="I28" s="252">
        <f t="shared" si="0"/>
        <v>363.19900000000001</v>
      </c>
      <c r="J28" s="249">
        <f t="shared" si="1"/>
        <v>0.97729999999999995</v>
      </c>
      <c r="K28" s="250">
        <v>0.94099999999999995</v>
      </c>
      <c r="L28" s="138">
        <f t="shared" si="2"/>
        <v>354.9543827</v>
      </c>
      <c r="M28" s="261">
        <f t="shared" si="3"/>
        <v>334.012</v>
      </c>
      <c r="N28" s="262">
        <f t="shared" si="4"/>
        <v>333.62162429973</v>
      </c>
      <c r="O28" s="43">
        <f t="shared" si="10"/>
        <v>31</v>
      </c>
      <c r="P28" s="26">
        <f t="shared" si="5"/>
        <v>941</v>
      </c>
      <c r="Q28" s="26">
        <f t="shared" si="6"/>
        <v>186.96960000000001</v>
      </c>
      <c r="R28" s="26">
        <f t="shared" si="7"/>
        <v>0.48620000000000002</v>
      </c>
      <c r="S28" s="26">
        <f t="shared" si="8"/>
        <v>7.2783470226916221E-4</v>
      </c>
      <c r="T28" s="44">
        <f t="shared" si="9"/>
        <v>0.97729999999999995</v>
      </c>
    </row>
    <row r="29" spans="2:20" ht="13.5" thickBot="1">
      <c r="B29" s="128" t="s">
        <v>179</v>
      </c>
      <c r="C29" s="253" t="s">
        <v>6</v>
      </c>
      <c r="D29" s="254">
        <v>1.6419999999999999</v>
      </c>
      <c r="E29" s="255">
        <v>46.5</v>
      </c>
      <c r="F29" s="254">
        <v>364.11500000000001</v>
      </c>
      <c r="G29" s="253" t="s">
        <v>33</v>
      </c>
      <c r="H29" s="99">
        <v>0</v>
      </c>
      <c r="I29" s="256">
        <f t="shared" si="0"/>
        <v>364.11500000000001</v>
      </c>
      <c r="J29" s="249">
        <f t="shared" si="1"/>
        <v>0.97689999999999999</v>
      </c>
      <c r="K29" s="250">
        <v>0.94099999999999995</v>
      </c>
      <c r="L29" s="263">
        <f t="shared" si="2"/>
        <v>355.70394349999998</v>
      </c>
      <c r="M29" s="264">
        <f t="shared" si="3"/>
        <v>334.71699999999998</v>
      </c>
      <c r="N29" s="265">
        <f t="shared" si="4"/>
        <v>334.32613649564996</v>
      </c>
      <c r="O29" s="43">
        <f t="shared" si="10"/>
        <v>31.5</v>
      </c>
      <c r="P29" s="26">
        <f t="shared" si="5"/>
        <v>941</v>
      </c>
      <c r="Q29" s="26">
        <f t="shared" si="6"/>
        <v>186.96960000000001</v>
      </c>
      <c r="R29" s="26">
        <f t="shared" si="7"/>
        <v>0.48620000000000002</v>
      </c>
      <c r="S29" s="26">
        <f t="shared" si="8"/>
        <v>7.2783470226916221E-4</v>
      </c>
      <c r="T29" s="44">
        <f t="shared" si="9"/>
        <v>0.97689999999999999</v>
      </c>
    </row>
    <row r="30" spans="2:20" ht="13.5" thickBot="1">
      <c r="B30" s="126"/>
      <c r="C30" s="111"/>
      <c r="D30" s="111"/>
      <c r="E30" s="111"/>
      <c r="F30" s="111" t="s">
        <v>41</v>
      </c>
      <c r="G30" s="83"/>
      <c r="H30" s="83"/>
      <c r="I30" s="72">
        <f>SUM(I20:I29)</f>
        <v>3879.3810000000003</v>
      </c>
      <c r="J30" s="156">
        <f>MEDIAN(J20:J29)</f>
        <v>0.97689999999999999</v>
      </c>
      <c r="K30" s="191">
        <f>MEDIAN(K20:K29)</f>
        <v>0.94099999999999995</v>
      </c>
      <c r="L30" s="162">
        <f>SUM(L20:L29)</f>
        <v>3790.2294077000001</v>
      </c>
      <c r="M30" s="120">
        <f>ROUND(SUM(M20:M29),3)</f>
        <v>3566.605</v>
      </c>
      <c r="N30" s="121">
        <f>SUM(N20:N29)</f>
        <v>3562.4366202972296</v>
      </c>
      <c r="O30" s="45"/>
    </row>
    <row r="31" spans="2:20">
      <c r="O31" s="42"/>
    </row>
    <row r="32" spans="2:20" ht="13.5" thickBot="1">
      <c r="B32" s="25"/>
      <c r="O32" s="42"/>
    </row>
    <row r="33" spans="2:25" ht="15" thickBot="1">
      <c r="B33" s="303" t="s">
        <v>74</v>
      </c>
      <c r="C33" s="304"/>
      <c r="D33" s="304"/>
      <c r="E33" s="304"/>
      <c r="F33" s="304"/>
      <c r="G33" s="304"/>
      <c r="H33" s="304"/>
      <c r="I33" s="304"/>
      <c r="J33" s="150" t="s">
        <v>59</v>
      </c>
      <c r="K33" s="294" t="s">
        <v>52</v>
      </c>
      <c r="L33" s="295"/>
      <c r="M33" s="295"/>
      <c r="N33" s="124" t="s">
        <v>60</v>
      </c>
      <c r="O33" s="42"/>
    </row>
    <row r="34" spans="2:25" ht="13.5" thickBot="1">
      <c r="B34" s="27" t="s">
        <v>12</v>
      </c>
      <c r="C34" s="243">
        <v>3.4</v>
      </c>
      <c r="D34" s="28" t="s">
        <v>13</v>
      </c>
      <c r="E34" s="28" t="s">
        <v>14</v>
      </c>
      <c r="F34" s="244">
        <v>3.4</v>
      </c>
      <c r="G34" s="28" t="s">
        <v>13</v>
      </c>
      <c r="H34" s="28" t="s">
        <v>15</v>
      </c>
      <c r="I34" s="245">
        <v>0</v>
      </c>
      <c r="J34" s="322" t="s">
        <v>16</v>
      </c>
      <c r="K34" s="304"/>
      <c r="L34" s="151" t="s">
        <v>61</v>
      </c>
      <c r="M34" s="315" t="s">
        <v>18</v>
      </c>
      <c r="N34" s="316"/>
      <c r="O34" s="42"/>
    </row>
    <row r="35" spans="2:25">
      <c r="B35" s="276" t="s">
        <v>19</v>
      </c>
      <c r="C35" s="313" t="s">
        <v>20</v>
      </c>
      <c r="D35" s="278" t="s">
        <v>62</v>
      </c>
      <c r="E35" s="278" t="s">
        <v>38</v>
      </c>
      <c r="F35" s="280" t="s">
        <v>63</v>
      </c>
      <c r="G35" s="296" t="s">
        <v>24</v>
      </c>
      <c r="H35" s="297"/>
      <c r="I35" s="278" t="s">
        <v>25</v>
      </c>
      <c r="J35" s="278" t="s">
        <v>26</v>
      </c>
      <c r="K35" s="278" t="s">
        <v>64</v>
      </c>
      <c r="L35" s="285" t="s">
        <v>65</v>
      </c>
      <c r="M35" s="318" t="s">
        <v>29</v>
      </c>
      <c r="N35" s="320" t="s">
        <v>30</v>
      </c>
      <c r="O35" s="42"/>
    </row>
    <row r="36" spans="2:25" ht="13.5" thickBot="1">
      <c r="B36" s="277"/>
      <c r="C36" s="314"/>
      <c r="D36" s="279"/>
      <c r="E36" s="279"/>
      <c r="F36" s="281"/>
      <c r="G36" s="266" t="s">
        <v>31</v>
      </c>
      <c r="H36" s="266" t="s">
        <v>32</v>
      </c>
      <c r="I36" s="279"/>
      <c r="J36" s="279"/>
      <c r="K36" s="279"/>
      <c r="L36" s="286"/>
      <c r="M36" s="319"/>
      <c r="N36" s="321"/>
      <c r="O36" s="42"/>
      <c r="W36" s="153"/>
      <c r="X36" s="154">
        <f>SUM(L20:L29)</f>
        <v>3790.2294077000001</v>
      </c>
      <c r="Y36" s="153"/>
    </row>
    <row r="37" spans="2:25">
      <c r="B37" s="130" t="str">
        <f t="shared" ref="B37:C46" si="12">B20</f>
        <v>1 BB</v>
      </c>
      <c r="C37" s="267" t="str">
        <f t="shared" si="12"/>
        <v>VLSFO</v>
      </c>
      <c r="D37" s="232">
        <v>4.42</v>
      </c>
      <c r="E37" s="236">
        <v>44.5</v>
      </c>
      <c r="F37" s="232">
        <v>94.231999999999999</v>
      </c>
      <c r="G37" s="268" t="s">
        <v>33</v>
      </c>
      <c r="H37" s="269">
        <v>0</v>
      </c>
      <c r="I37" s="270">
        <f t="shared" ref="I37:I46" si="13">IF(F37="","",F37-H37)</f>
        <v>94.231999999999999</v>
      </c>
      <c r="J37" s="134">
        <f t="shared" ref="J37:J46" si="14">IF(F37="","",T37)</f>
        <v>0.97840000000000005</v>
      </c>
      <c r="K37" s="118">
        <f t="shared" ref="K37:K46" si="15">K20</f>
        <v>0.94099999999999995</v>
      </c>
      <c r="L37" s="135">
        <f t="shared" ref="L37:L46" si="16">IF(F37="","",I37*J37)</f>
        <v>92.196588800000001</v>
      </c>
      <c r="M37" s="136">
        <f t="shared" ref="M37:M46" si="17">IF(B37="","",ROUND(SUM(L37*K37),3))</f>
        <v>86.757000000000005</v>
      </c>
      <c r="N37" s="137">
        <f t="shared" ref="N37:N46" si="18">(K37-0.0011)*L37</f>
        <v>86.65557381312</v>
      </c>
      <c r="O37" s="43">
        <f>IF(E37="","",E37-15)</f>
        <v>29.5</v>
      </c>
      <c r="P37" s="26">
        <f t="shared" ref="P37:P46" si="19">K37*1000</f>
        <v>941</v>
      </c>
      <c r="Q37" s="26">
        <f t="shared" ref="Q37:Q46" si="20">IF(K37&gt;0.8385,186.9696,IF(K37&gt;0.7875,594.5418,IF(K37&gt;0.77,2680.3206,346.4228)))</f>
        <v>186.96960000000001</v>
      </c>
      <c r="R37" s="26">
        <f t="shared" ref="R37:R46" si="21">IF(K37&gt;0.8385,0.4862,IF(K37&gt;0.7875,0,IF(K37&gt;0.77,-0.00336312,0.4388)))</f>
        <v>0.48620000000000002</v>
      </c>
      <c r="S37" s="26">
        <f t="shared" ref="S37:S46" si="22">IF(OR(K37&gt;0.7876,K37=0.7876),(Q37/P37^2)+(R37/P37),IF(OR(K37&gt;0.7701,K37=0.7701),(Q37/P37^2)+R37,(Q37/P37^2)+(R37/P37)))</f>
        <v>7.2783470226916221E-4</v>
      </c>
      <c r="T37" s="44">
        <f t="shared" ref="T37:T46" si="23">ROUND(EXP(-S37*O37*(1+0.8*S37*O37)),4)</f>
        <v>0.97840000000000005</v>
      </c>
      <c r="W37" s="154">
        <f>I30-I47</f>
        <v>978.37400000000071</v>
      </c>
      <c r="X37" s="154">
        <f>SUM(L37:L46)</f>
        <v>2835.0277366</v>
      </c>
      <c r="Y37" s="153">
        <f>624.8*0.9799</f>
        <v>612.24151999999992</v>
      </c>
    </row>
    <row r="38" spans="2:25">
      <c r="B38" s="130" t="str">
        <f t="shared" si="12"/>
        <v>1 BE</v>
      </c>
      <c r="C38" s="267" t="str">
        <f t="shared" si="12"/>
        <v>VLSFO</v>
      </c>
      <c r="D38" s="235">
        <v>4.4169999999999998</v>
      </c>
      <c r="E38" s="237">
        <v>44.5</v>
      </c>
      <c r="F38" s="235">
        <v>95.427000000000007</v>
      </c>
      <c r="G38" s="251" t="s">
        <v>33</v>
      </c>
      <c r="H38" s="98">
        <v>0</v>
      </c>
      <c r="I38" s="252">
        <f t="shared" si="13"/>
        <v>95.427000000000007</v>
      </c>
      <c r="J38" s="66">
        <f t="shared" si="14"/>
        <v>0.97840000000000005</v>
      </c>
      <c r="K38" s="119">
        <f t="shared" si="15"/>
        <v>0.94099999999999995</v>
      </c>
      <c r="L38" s="138">
        <f t="shared" si="16"/>
        <v>93.365776800000006</v>
      </c>
      <c r="M38" s="139">
        <f t="shared" si="17"/>
        <v>87.856999999999999</v>
      </c>
      <c r="N38" s="140">
        <f t="shared" si="18"/>
        <v>87.754493614319998</v>
      </c>
      <c r="O38" s="43">
        <f t="shared" ref="O38:O46" si="24">E38-15</f>
        <v>29.5</v>
      </c>
      <c r="P38" s="26">
        <f t="shared" si="19"/>
        <v>941</v>
      </c>
      <c r="Q38" s="26">
        <f t="shared" si="20"/>
        <v>186.96960000000001</v>
      </c>
      <c r="R38" s="26">
        <f t="shared" si="21"/>
        <v>0.48620000000000002</v>
      </c>
      <c r="S38" s="26">
        <f t="shared" si="22"/>
        <v>7.2783470226916221E-4</v>
      </c>
      <c r="T38" s="44">
        <f t="shared" si="23"/>
        <v>0.97840000000000005</v>
      </c>
      <c r="W38" s="153">
        <f>W37*0.9799</f>
        <v>958.70868260000066</v>
      </c>
      <c r="X38" s="154">
        <f>X36-X37</f>
        <v>955.20167110000011</v>
      </c>
      <c r="Y38" s="153">
        <f>Y37*0.9475</f>
        <v>580.09884019999993</v>
      </c>
    </row>
    <row r="39" spans="2:25">
      <c r="B39" s="130" t="str">
        <f t="shared" si="12"/>
        <v>2 BB</v>
      </c>
      <c r="C39" s="267" t="str">
        <f t="shared" si="12"/>
        <v>VLSFO</v>
      </c>
      <c r="D39" s="235">
        <v>1.7</v>
      </c>
      <c r="E39" s="237">
        <v>46.5</v>
      </c>
      <c r="F39" s="235">
        <v>405.714</v>
      </c>
      <c r="G39" s="251" t="s">
        <v>33</v>
      </c>
      <c r="H39" s="98">
        <v>0</v>
      </c>
      <c r="I39" s="252">
        <f t="shared" si="13"/>
        <v>405.714</v>
      </c>
      <c r="J39" s="66">
        <f t="shared" si="14"/>
        <v>0.97689999999999999</v>
      </c>
      <c r="K39" s="119">
        <f t="shared" si="15"/>
        <v>0.94099999999999995</v>
      </c>
      <c r="L39" s="138">
        <f t="shared" si="16"/>
        <v>396.34200659999999</v>
      </c>
      <c r="M39" s="139">
        <f t="shared" si="17"/>
        <v>372.95800000000003</v>
      </c>
      <c r="N39" s="140">
        <f t="shared" si="18"/>
        <v>372.52185200333997</v>
      </c>
      <c r="O39" s="43">
        <f t="shared" si="24"/>
        <v>31.5</v>
      </c>
      <c r="P39" s="26">
        <f t="shared" si="19"/>
        <v>941</v>
      </c>
      <c r="Q39" s="26">
        <f t="shared" si="20"/>
        <v>186.96960000000001</v>
      </c>
      <c r="R39" s="26">
        <f t="shared" si="21"/>
        <v>0.48620000000000002</v>
      </c>
      <c r="S39" s="26">
        <f t="shared" si="22"/>
        <v>7.2783470226916221E-4</v>
      </c>
      <c r="T39" s="44">
        <f t="shared" si="23"/>
        <v>0.97689999999999999</v>
      </c>
      <c r="W39" s="153">
        <f>W38*0.9475</f>
        <v>908.37647676350059</v>
      </c>
      <c r="X39" s="153"/>
      <c r="Y39" s="153"/>
    </row>
    <row r="40" spans="2:25">
      <c r="B40" s="130" t="str">
        <f t="shared" si="12"/>
        <v>2 BE</v>
      </c>
      <c r="C40" s="267" t="str">
        <f t="shared" si="12"/>
        <v>VLSFO</v>
      </c>
      <c r="D40" s="235">
        <v>1.706</v>
      </c>
      <c r="E40" s="237">
        <v>46</v>
      </c>
      <c r="F40" s="235">
        <v>402.56799999999998</v>
      </c>
      <c r="G40" s="251" t="s">
        <v>33</v>
      </c>
      <c r="H40" s="98">
        <v>0</v>
      </c>
      <c r="I40" s="252">
        <f t="shared" si="13"/>
        <v>402.56799999999998</v>
      </c>
      <c r="J40" s="66">
        <f t="shared" si="14"/>
        <v>0.97729999999999995</v>
      </c>
      <c r="K40" s="119">
        <f t="shared" si="15"/>
        <v>0.94099999999999995</v>
      </c>
      <c r="L40" s="138">
        <f t="shared" si="16"/>
        <v>393.42970639999999</v>
      </c>
      <c r="M40" s="139">
        <f t="shared" si="17"/>
        <v>370.21699999999998</v>
      </c>
      <c r="N40" s="140">
        <f t="shared" si="18"/>
        <v>369.78458104535997</v>
      </c>
      <c r="O40" s="43">
        <f t="shared" si="24"/>
        <v>31</v>
      </c>
      <c r="P40" s="26">
        <f t="shared" si="19"/>
        <v>941</v>
      </c>
      <c r="Q40" s="26">
        <f t="shared" si="20"/>
        <v>186.96960000000001</v>
      </c>
      <c r="R40" s="26">
        <f t="shared" si="21"/>
        <v>0.48620000000000002</v>
      </c>
      <c r="S40" s="26">
        <f t="shared" si="22"/>
        <v>7.2783470226916221E-4</v>
      </c>
      <c r="T40" s="44">
        <f t="shared" si="23"/>
        <v>0.97729999999999995</v>
      </c>
    </row>
    <row r="41" spans="2:25">
      <c r="B41" s="130" t="str">
        <f t="shared" si="12"/>
        <v>3 BB</v>
      </c>
      <c r="C41" s="267" t="str">
        <f t="shared" si="12"/>
        <v>VLSFO</v>
      </c>
      <c r="D41" s="235">
        <v>1.429</v>
      </c>
      <c r="E41" s="237">
        <v>46.5</v>
      </c>
      <c r="F41" s="235">
        <v>431.97500000000002</v>
      </c>
      <c r="G41" s="251" t="s">
        <v>33</v>
      </c>
      <c r="H41" s="98">
        <v>0</v>
      </c>
      <c r="I41" s="252">
        <f t="shared" si="13"/>
        <v>431.97500000000002</v>
      </c>
      <c r="J41" s="66">
        <f>IF(F41="","",T41)</f>
        <v>0.97689999999999999</v>
      </c>
      <c r="K41" s="119">
        <f t="shared" si="15"/>
        <v>0.94099999999999995</v>
      </c>
      <c r="L41" s="138">
        <f>IF(F41="","",I41*J41)</f>
        <v>421.99637749999999</v>
      </c>
      <c r="M41" s="139">
        <f>IF(B41="","",ROUND(SUM(L41*K41),3))</f>
        <v>397.09899999999999</v>
      </c>
      <c r="N41" s="140">
        <f>(K41-0.0011)*L41</f>
        <v>396.63439521224996</v>
      </c>
      <c r="O41" s="43">
        <f t="shared" si="24"/>
        <v>31.5</v>
      </c>
      <c r="P41" s="26">
        <f>K41*1000</f>
        <v>941</v>
      </c>
      <c r="Q41" s="26">
        <f>IF(K41&gt;0.8385,186.9696,IF(K41&gt;0.7875,594.5418,IF(K41&gt;0.77,2680.3206,346.4228)))</f>
        <v>186.96960000000001</v>
      </c>
      <c r="R41" s="26">
        <f>IF(K41&gt;0.8385,0.4862,IF(K41&gt;0.7875,0,IF(K41&gt;0.77,-0.00336312,0.4388)))</f>
        <v>0.48620000000000002</v>
      </c>
      <c r="S41" s="26">
        <f>IF(OR(K41&gt;0.7876,K41=0.7876),(Q41/P41^2)+(R41/P41),IF(OR(K41&gt;0.7701,K41=0.7701),(Q41/P41^2)+R41,(Q41/P41^2)+(R41/P41)))</f>
        <v>7.2783470226916221E-4</v>
      </c>
      <c r="T41" s="44">
        <f>ROUND(EXP(-S41*O41*(1+0.8*S41*O41)),4)</f>
        <v>0.97689999999999999</v>
      </c>
    </row>
    <row r="42" spans="2:25">
      <c r="B42" s="130" t="str">
        <f t="shared" si="12"/>
        <v>3 BE</v>
      </c>
      <c r="C42" s="267" t="str">
        <f t="shared" si="12"/>
        <v>VLSFO</v>
      </c>
      <c r="D42" s="235">
        <v>1.474</v>
      </c>
      <c r="E42" s="237">
        <v>46</v>
      </c>
      <c r="F42" s="235">
        <v>426.50599999999997</v>
      </c>
      <c r="G42" s="251" t="s">
        <v>33</v>
      </c>
      <c r="H42" s="98">
        <v>0</v>
      </c>
      <c r="I42" s="252">
        <f t="shared" si="13"/>
        <v>426.50599999999997</v>
      </c>
      <c r="J42" s="66">
        <f>IF(F42="","",T42)</f>
        <v>0.97729999999999995</v>
      </c>
      <c r="K42" s="119">
        <f t="shared" si="15"/>
        <v>0.94099999999999995</v>
      </c>
      <c r="L42" s="138">
        <f>IF(F42="","",I42*J42)</f>
        <v>416.82431379999997</v>
      </c>
      <c r="M42" s="139">
        <f>IF(B42="","",ROUND(SUM(L42*K42),3))</f>
        <v>392.23200000000003</v>
      </c>
      <c r="N42" s="140">
        <f>(K42-0.0011)*L42</f>
        <v>391.77317254061995</v>
      </c>
      <c r="O42" s="43">
        <f t="shared" si="24"/>
        <v>31</v>
      </c>
      <c r="P42" s="26">
        <f>K42*1000</f>
        <v>941</v>
      </c>
      <c r="Q42" s="26">
        <f>IF(K42&gt;0.8385,186.9696,IF(K42&gt;0.7875,594.5418,IF(K42&gt;0.77,2680.3206,346.4228)))</f>
        <v>186.96960000000001</v>
      </c>
      <c r="R42" s="26">
        <f>IF(K42&gt;0.8385,0.4862,IF(K42&gt;0.7875,0,IF(K42&gt;0.77,-0.00336312,0.4388)))</f>
        <v>0.48620000000000002</v>
      </c>
      <c r="S42" s="26">
        <f>IF(OR(K42&gt;0.7876,K42=0.7876),(Q42/P42^2)+(R42/P42),IF(OR(K42&gt;0.7701,K42=0.7701),(Q42/P42^2)+R42,(Q42/P42^2)+(R42/P42)))</f>
        <v>7.2783470226916221E-4</v>
      </c>
      <c r="T42" s="44">
        <f>ROUND(EXP(-S42*O42*(1+0.8*S42*O42)),4)</f>
        <v>0.97729999999999995</v>
      </c>
    </row>
    <row r="43" spans="2:25">
      <c r="B43" s="130" t="str">
        <f t="shared" si="12"/>
        <v>4 BB</v>
      </c>
      <c r="C43" s="267" t="str">
        <f t="shared" si="12"/>
        <v>VLSFO</v>
      </c>
      <c r="D43" s="235">
        <v>1.7010000000000001</v>
      </c>
      <c r="E43" s="237">
        <v>46.5</v>
      </c>
      <c r="F43" s="235">
        <v>406.399</v>
      </c>
      <c r="G43" s="251" t="s">
        <v>33</v>
      </c>
      <c r="H43" s="98">
        <v>0</v>
      </c>
      <c r="I43" s="252">
        <f t="shared" ref="I43:I44" si="25">IF(F43="","",F43-H43)</f>
        <v>406.399</v>
      </c>
      <c r="J43" s="66">
        <f>IF(F43="","",T43)</f>
        <v>0.97689999999999999</v>
      </c>
      <c r="K43" s="119">
        <f t="shared" si="15"/>
        <v>0.94099999999999995</v>
      </c>
      <c r="L43" s="138">
        <f>IF(F43="","",I43*J43)</f>
        <v>397.01118309999998</v>
      </c>
      <c r="M43" s="139">
        <f>IF(B43="","",ROUND(SUM(L43*K43),3))</f>
        <v>373.58800000000002</v>
      </c>
      <c r="N43" s="140">
        <f>(K43-0.0011)*L43</f>
        <v>373.15081099568999</v>
      </c>
      <c r="O43" s="43">
        <f t="shared" ref="O43:O44" si="26">E43-15</f>
        <v>31.5</v>
      </c>
      <c r="P43" s="26">
        <f>K43*1000</f>
        <v>941</v>
      </c>
      <c r="Q43" s="26">
        <f>IF(K43&gt;0.8385,186.9696,IF(K43&gt;0.7875,594.5418,IF(K43&gt;0.77,2680.3206,346.4228)))</f>
        <v>186.96960000000001</v>
      </c>
      <c r="R43" s="26">
        <f>IF(K43&gt;0.8385,0.4862,IF(K43&gt;0.7875,0,IF(K43&gt;0.77,-0.00336312,0.4388)))</f>
        <v>0.48620000000000002</v>
      </c>
      <c r="S43" s="26">
        <f>IF(OR(K43&gt;0.7876,K43=0.7876),(Q43/P43^2)+(R43/P43),IF(OR(K43&gt;0.7701,K43=0.7701),(Q43/P43^2)+R43,(Q43/P43^2)+(R43/P43)))</f>
        <v>7.2783470226916221E-4</v>
      </c>
      <c r="T43" s="44">
        <f>ROUND(EXP(-S43*O43*(1+0.8*S43*O43)),4)</f>
        <v>0.97689999999999999</v>
      </c>
    </row>
    <row r="44" spans="2:25">
      <c r="B44" s="130" t="str">
        <f t="shared" si="12"/>
        <v>4 BE</v>
      </c>
      <c r="C44" s="267" t="str">
        <f t="shared" si="12"/>
        <v>VLSFO</v>
      </c>
      <c r="D44" s="235">
        <v>1.7050000000000001</v>
      </c>
      <c r="E44" s="237">
        <v>46</v>
      </c>
      <c r="F44" s="235">
        <v>405.892</v>
      </c>
      <c r="G44" s="251" t="s">
        <v>33</v>
      </c>
      <c r="H44" s="98">
        <v>0</v>
      </c>
      <c r="I44" s="252">
        <f t="shared" si="25"/>
        <v>405.892</v>
      </c>
      <c r="J44" s="66">
        <f>IF(F44="","",T44)</f>
        <v>0.97729999999999995</v>
      </c>
      <c r="K44" s="119">
        <f t="shared" si="15"/>
        <v>0.94099999999999995</v>
      </c>
      <c r="L44" s="138">
        <f>IF(F44="","",I44*J44)</f>
        <v>396.67825159999995</v>
      </c>
      <c r="M44" s="139">
        <f>IF(B44="","",ROUND(SUM(L44*K44),3))</f>
        <v>373.274</v>
      </c>
      <c r="N44" s="140">
        <f>(K44-0.0011)*L44</f>
        <v>372.83788867883993</v>
      </c>
      <c r="O44" s="43">
        <f t="shared" si="26"/>
        <v>31</v>
      </c>
      <c r="P44" s="26">
        <f>K44*1000</f>
        <v>941</v>
      </c>
      <c r="Q44" s="26">
        <f>IF(K44&gt;0.8385,186.9696,IF(K44&gt;0.7875,594.5418,IF(K44&gt;0.77,2680.3206,346.4228)))</f>
        <v>186.96960000000001</v>
      </c>
      <c r="R44" s="26">
        <f>IF(K44&gt;0.8385,0.4862,IF(K44&gt;0.7875,0,IF(K44&gt;0.77,-0.00336312,0.4388)))</f>
        <v>0.48620000000000002</v>
      </c>
      <c r="S44" s="26">
        <f>IF(OR(K44&gt;0.7876,K44=0.7876),(Q44/P44^2)+(R44/P44),IF(OR(K44&gt;0.7701,K44=0.7701),(Q44/P44^2)+R44,(Q44/P44^2)+(R44/P44)))</f>
        <v>7.2783470226916221E-4</v>
      </c>
      <c r="T44" s="44">
        <f>ROUND(EXP(-S44*O44*(1+0.8*S44*O44)),4)</f>
        <v>0.97729999999999995</v>
      </c>
    </row>
    <row r="45" spans="2:25">
      <c r="B45" s="130" t="str">
        <f t="shared" si="12"/>
        <v>5 BB</v>
      </c>
      <c r="C45" s="267" t="str">
        <f t="shared" si="12"/>
        <v>VLSFO</v>
      </c>
      <c r="D45" s="235">
        <v>4.4249999999999998</v>
      </c>
      <c r="E45" s="237">
        <v>45</v>
      </c>
      <c r="F45" s="235">
        <v>115.73</v>
      </c>
      <c r="G45" s="251" t="s">
        <v>33</v>
      </c>
      <c r="H45" s="98">
        <v>0</v>
      </c>
      <c r="I45" s="252">
        <f t="shared" si="13"/>
        <v>115.73</v>
      </c>
      <c r="J45" s="66">
        <f t="shared" si="14"/>
        <v>0.97799999999999998</v>
      </c>
      <c r="K45" s="119">
        <f t="shared" si="15"/>
        <v>0.94099999999999995</v>
      </c>
      <c r="L45" s="138">
        <f t="shared" si="16"/>
        <v>113.18394000000001</v>
      </c>
      <c r="M45" s="139">
        <f t="shared" si="17"/>
        <v>106.506</v>
      </c>
      <c r="N45" s="140">
        <f t="shared" si="18"/>
        <v>106.381585206</v>
      </c>
      <c r="O45" s="43">
        <f t="shared" si="24"/>
        <v>30</v>
      </c>
      <c r="P45" s="26">
        <f t="shared" si="19"/>
        <v>941</v>
      </c>
      <c r="Q45" s="26">
        <f t="shared" si="20"/>
        <v>186.96960000000001</v>
      </c>
      <c r="R45" s="26">
        <f t="shared" si="21"/>
        <v>0.48620000000000002</v>
      </c>
      <c r="S45" s="26">
        <f t="shared" si="22"/>
        <v>7.2783470226916221E-4</v>
      </c>
      <c r="T45" s="44">
        <f t="shared" si="23"/>
        <v>0.97799999999999998</v>
      </c>
    </row>
    <row r="46" spans="2:25" ht="13.5" thickBot="1">
      <c r="B46" s="130" t="str">
        <f t="shared" si="12"/>
        <v>5 BE</v>
      </c>
      <c r="C46" s="267" t="str">
        <f t="shared" si="12"/>
        <v>VLSFO</v>
      </c>
      <c r="D46" s="254">
        <v>4.42</v>
      </c>
      <c r="E46" s="255">
        <v>45</v>
      </c>
      <c r="F46" s="254">
        <v>116.56399999999999</v>
      </c>
      <c r="G46" s="251" t="s">
        <v>33</v>
      </c>
      <c r="H46" s="98">
        <v>0</v>
      </c>
      <c r="I46" s="252">
        <f t="shared" si="13"/>
        <v>116.56399999999999</v>
      </c>
      <c r="J46" s="66">
        <f t="shared" si="14"/>
        <v>0.97799999999999998</v>
      </c>
      <c r="K46" s="119">
        <f t="shared" si="15"/>
        <v>0.94099999999999995</v>
      </c>
      <c r="L46" s="138">
        <f t="shared" si="16"/>
        <v>113.99959199999999</v>
      </c>
      <c r="M46" s="139">
        <f t="shared" si="17"/>
        <v>107.274</v>
      </c>
      <c r="N46" s="140">
        <f t="shared" si="18"/>
        <v>107.14821652079999</v>
      </c>
      <c r="O46" s="43">
        <f t="shared" si="24"/>
        <v>30</v>
      </c>
      <c r="P46" s="26">
        <f t="shared" si="19"/>
        <v>941</v>
      </c>
      <c r="Q46" s="26">
        <f t="shared" si="20"/>
        <v>186.96960000000001</v>
      </c>
      <c r="R46" s="26">
        <f t="shared" si="21"/>
        <v>0.48620000000000002</v>
      </c>
      <c r="S46" s="26">
        <f t="shared" si="22"/>
        <v>7.2783470226916221E-4</v>
      </c>
      <c r="T46" s="44">
        <f t="shared" si="23"/>
        <v>0.97799999999999998</v>
      </c>
    </row>
    <row r="47" spans="2:25" ht="13.5" thickBot="1">
      <c r="B47" s="126"/>
      <c r="C47" s="111"/>
      <c r="D47" s="83"/>
      <c r="E47" s="83"/>
      <c r="F47" s="83" t="s">
        <v>41</v>
      </c>
      <c r="G47" s="83"/>
      <c r="H47" s="83"/>
      <c r="I47" s="72">
        <f>SUM(I37:I46)</f>
        <v>2901.0069999999996</v>
      </c>
      <c r="J47" s="156">
        <f>MEDIAN(J37:J46)</f>
        <v>0.97729999999999995</v>
      </c>
      <c r="K47" s="190">
        <f>MEDIAN(K37:K46)</f>
        <v>0.94099999999999995</v>
      </c>
      <c r="L47" s="162">
        <f>SUM(L37:L46)</f>
        <v>2835.0277366</v>
      </c>
      <c r="M47" s="104">
        <f>ROUND(SUM(M37:M46),3)</f>
        <v>2667.7620000000002</v>
      </c>
      <c r="N47" s="127">
        <f>SUM(N37:N46)</f>
        <v>2664.6425696303399</v>
      </c>
      <c r="O47" s="42"/>
    </row>
    <row r="48" spans="2:25">
      <c r="D48" s="47"/>
      <c r="E48" s="47"/>
      <c r="F48" s="47"/>
      <c r="G48" s="47"/>
      <c r="H48" s="47"/>
      <c r="I48" s="78"/>
      <c r="J48" s="163"/>
      <c r="K48" s="78"/>
      <c r="L48" s="78"/>
      <c r="M48" s="78"/>
      <c r="N48" s="78"/>
      <c r="O48" s="42"/>
    </row>
    <row r="49" spans="2:15" ht="13.5" customHeight="1">
      <c r="B49" s="308" t="s">
        <v>75</v>
      </c>
      <c r="C49" s="308"/>
      <c r="D49" s="308"/>
      <c r="E49" s="308" t="s">
        <v>76</v>
      </c>
      <c r="F49" s="308"/>
      <c r="G49" s="308"/>
      <c r="I49" s="204" t="s">
        <v>77</v>
      </c>
      <c r="J49" s="205"/>
      <c r="K49" s="205"/>
      <c r="L49" s="206"/>
      <c r="M49" s="206">
        <f>N30-N47</f>
        <v>897.79405066688969</v>
      </c>
      <c r="N49" s="207" t="s">
        <v>48</v>
      </c>
      <c r="O49" s="46"/>
    </row>
    <row r="50" spans="2:15">
      <c r="B50" s="309"/>
      <c r="C50" s="309"/>
      <c r="D50" s="309"/>
      <c r="E50" s="309"/>
      <c r="F50" s="309"/>
      <c r="G50" s="309"/>
      <c r="N50" s="47"/>
      <c r="O50" s="44"/>
    </row>
    <row r="51" spans="2:15" s="35" customFormat="1">
      <c r="B51" s="305">
        <v>0.94099999999999995</v>
      </c>
      <c r="C51" s="306"/>
      <c r="D51" s="307"/>
      <c r="E51" s="310">
        <v>0.93769999999999998</v>
      </c>
      <c r="F51" s="311"/>
      <c r="G51" s="312"/>
      <c r="I51" s="208" t="s">
        <v>78</v>
      </c>
      <c r="J51" s="205"/>
      <c r="K51" s="205"/>
      <c r="L51" s="206"/>
      <c r="M51" s="272" t="s">
        <v>52</v>
      </c>
      <c r="N51" s="207" t="s">
        <v>79</v>
      </c>
    </row>
    <row r="52" spans="2:15">
      <c r="B52" s="271"/>
      <c r="C52" s="271"/>
      <c r="D52" s="271"/>
    </row>
    <row r="54" spans="2:15" hidden="1">
      <c r="B54" s="26" t="s">
        <v>80</v>
      </c>
      <c r="D54" s="298" t="s">
        <v>81</v>
      </c>
      <c r="E54" s="298"/>
      <c r="F54" s="131"/>
      <c r="M54" s="131"/>
      <c r="N54" s="131"/>
    </row>
    <row r="55" spans="2:15" hidden="1">
      <c r="B55" s="26" t="s">
        <v>82</v>
      </c>
      <c r="D55" s="323">
        <v>43273</v>
      </c>
      <c r="E55" s="323"/>
      <c r="F55" s="131"/>
      <c r="L55" s="145"/>
      <c r="M55" s="131"/>
      <c r="N55" s="131"/>
    </row>
    <row r="56" spans="2:15" ht="15.75" hidden="1" customHeight="1">
      <c r="B56" s="26" t="s">
        <v>83</v>
      </c>
      <c r="D56" s="299">
        <v>9054</v>
      </c>
      <c r="E56" s="299"/>
      <c r="L56" s="146"/>
      <c r="M56" s="131"/>
      <c r="N56" s="131"/>
    </row>
    <row r="58" spans="2:15">
      <c r="B58" s="26" t="s">
        <v>84</v>
      </c>
      <c r="D58" s="298" t="s">
        <v>85</v>
      </c>
      <c r="E58" s="298"/>
    </row>
    <row r="59" spans="2:15">
      <c r="K59" s="51"/>
    </row>
    <row r="63" spans="2:15">
      <c r="C63" s="52"/>
      <c r="D63" s="292"/>
      <c r="E63" s="292"/>
      <c r="H63" s="53"/>
      <c r="J63" s="54"/>
    </row>
    <row r="64" spans="2:15">
      <c r="D64" s="291"/>
      <c r="E64" s="291"/>
    </row>
    <row r="65" spans="3:12" ht="14.25">
      <c r="C65" s="39" t="s">
        <v>55</v>
      </c>
      <c r="D65" s="39"/>
      <c r="E65" s="317" t="str">
        <f>'Vessel Ullage'!D74</f>
        <v>YEPING WU</v>
      </c>
      <c r="F65" s="317"/>
      <c r="G65" s="317"/>
      <c r="I65" s="39" t="s">
        <v>56</v>
      </c>
      <c r="J65" s="293" t="str">
        <f>'Vessel Ullage'!K74</f>
        <v>ARTHUR ARANTES FELICIO</v>
      </c>
      <c r="K65" s="293"/>
      <c r="L65" s="293"/>
    </row>
    <row r="66" spans="3:12">
      <c r="D66" s="291"/>
      <c r="E66" s="291"/>
    </row>
    <row r="69" spans="3:12">
      <c r="H69" s="53"/>
    </row>
  </sheetData>
  <sheetProtection selectLockedCells="1"/>
  <mergeCells count="52">
    <mergeCell ref="M17:N17"/>
    <mergeCell ref="E65:G65"/>
    <mergeCell ref="K18:K19"/>
    <mergeCell ref="J35:J36"/>
    <mergeCell ref="M34:N34"/>
    <mergeCell ref="M35:M36"/>
    <mergeCell ref="N35:N36"/>
    <mergeCell ref="K35:K36"/>
    <mergeCell ref="L35:L36"/>
    <mergeCell ref="J34:K34"/>
    <mergeCell ref="N18:N19"/>
    <mergeCell ref="M18:M19"/>
    <mergeCell ref="D55:E55"/>
    <mergeCell ref="D35:D36"/>
    <mergeCell ref="E35:E36"/>
    <mergeCell ref="J18:J19"/>
    <mergeCell ref="B16:I16"/>
    <mergeCell ref="B33:I33"/>
    <mergeCell ref="B51:D51"/>
    <mergeCell ref="E49:G50"/>
    <mergeCell ref="E51:G51"/>
    <mergeCell ref="B35:B36"/>
    <mergeCell ref="B49:D50"/>
    <mergeCell ref="C18:C19"/>
    <mergeCell ref="C35:C36"/>
    <mergeCell ref="F35:F36"/>
    <mergeCell ref="I35:I36"/>
    <mergeCell ref="D66:E66"/>
    <mergeCell ref="D63:E63"/>
    <mergeCell ref="J65:L65"/>
    <mergeCell ref="D64:E64"/>
    <mergeCell ref="K33:M33"/>
    <mergeCell ref="G35:H35"/>
    <mergeCell ref="D54:E54"/>
    <mergeCell ref="D56:E56"/>
    <mergeCell ref="D58:E58"/>
    <mergeCell ref="H1:M1"/>
    <mergeCell ref="J13:L13"/>
    <mergeCell ref="B7:L7"/>
    <mergeCell ref="B18:B19"/>
    <mergeCell ref="D18:D19"/>
    <mergeCell ref="E18:E19"/>
    <mergeCell ref="F18:F19"/>
    <mergeCell ref="D12:E12"/>
    <mergeCell ref="H2:N2"/>
    <mergeCell ref="I3:N3"/>
    <mergeCell ref="H4:N4"/>
    <mergeCell ref="H5:M5"/>
    <mergeCell ref="L18:L19"/>
    <mergeCell ref="G18:H18"/>
    <mergeCell ref="I18:I19"/>
    <mergeCell ref="K16:M16"/>
  </mergeCells>
  <phoneticPr fontId="0" type="noConversion"/>
  <hyperlinks>
    <hyperlink ref="H4" r:id="rId1" xr:uid="{00000000-0004-0000-0100-000000000000}"/>
  </hyperlinks>
  <pageMargins left="0.31496062992125984" right="0.23622047244094491" top="0.98425196850393704" bottom="0.98425196850393704" header="0.51181102362204722" footer="0.51181102362204722"/>
  <pageSetup paperSize="9" scale="81" orientation="portrait" blackAndWhite="1" horizontalDpi="300" verticalDpi="300" r:id="rId2"/>
  <headerFooter alignWithMargins="0"/>
  <ignoredErrors>
    <ignoredError sqref="J65 D11" unlockedFormula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57"/>
  <sheetViews>
    <sheetView showGridLines="0" view="pageBreakPreview" topLeftCell="A12" zoomScaleNormal="100" zoomScaleSheetLayoutView="100" workbookViewId="0">
      <selection activeCell="F20" sqref="F20"/>
    </sheetView>
  </sheetViews>
  <sheetFormatPr defaultColWidth="9.1328125" defaultRowHeight="13.15"/>
  <cols>
    <col min="1" max="2" width="9.1328125" style="55"/>
    <col min="3" max="3" width="19.265625" style="55" customWidth="1"/>
    <col min="4" max="4" width="8.86328125" style="67" customWidth="1"/>
    <col min="5" max="6" width="8" style="67" customWidth="1"/>
    <col min="7" max="7" width="2.1328125" style="55" customWidth="1"/>
    <col min="8" max="9" width="9.1328125" style="55"/>
    <col min="10" max="10" width="18.73046875" style="55" customWidth="1"/>
    <col min="11" max="11" width="8.3984375" style="55" bestFit="1" customWidth="1"/>
    <col min="12" max="12" width="6" style="55" customWidth="1"/>
    <col min="13" max="16384" width="9.1328125" style="55"/>
  </cols>
  <sheetData>
    <row r="2" spans="1:15" ht="12.75" customHeight="1">
      <c r="F2" s="273" t="s">
        <v>0</v>
      </c>
      <c r="G2" s="273"/>
      <c r="H2" s="273"/>
      <c r="I2" s="273"/>
      <c r="J2" s="273"/>
      <c r="K2" s="273"/>
      <c r="L2" s="30"/>
      <c r="M2" s="30"/>
      <c r="N2" s="30"/>
    </row>
    <row r="3" spans="1:15" ht="12.75" customHeight="1">
      <c r="G3" s="282" t="s">
        <v>1</v>
      </c>
      <c r="H3" s="282"/>
      <c r="I3" s="282"/>
      <c r="J3" s="282"/>
      <c r="K3" s="282"/>
      <c r="L3" s="71"/>
      <c r="M3" s="31"/>
      <c r="N3" s="31"/>
    </row>
    <row r="4" spans="1:15" ht="12.75" customHeight="1">
      <c r="F4" s="283" t="s">
        <v>2</v>
      </c>
      <c r="G4" s="283"/>
      <c r="H4" s="283"/>
      <c r="I4" s="283"/>
      <c r="J4" s="283"/>
      <c r="K4" s="283"/>
      <c r="L4" s="32"/>
      <c r="M4" s="31"/>
      <c r="N4" s="31"/>
    </row>
    <row r="5" spans="1:15">
      <c r="G5" s="284"/>
      <c r="H5" s="284"/>
      <c r="I5" s="284"/>
      <c r="J5" s="284"/>
      <c r="K5" s="284"/>
      <c r="L5" s="32"/>
      <c r="M5" s="32"/>
      <c r="N5" s="32"/>
      <c r="O5" s="26"/>
    </row>
    <row r="6" spans="1:15" ht="12.7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5" ht="12.75" customHeight="1">
      <c r="A7" s="390" t="s">
        <v>86</v>
      </c>
      <c r="B7" s="390"/>
      <c r="C7" s="390"/>
      <c r="D7" s="390"/>
      <c r="E7" s="390"/>
      <c r="F7" s="390"/>
      <c r="G7" s="390"/>
      <c r="H7" s="390"/>
      <c r="I7" s="390"/>
      <c r="J7" s="390"/>
      <c r="K7" s="390"/>
      <c r="L7" s="390"/>
    </row>
    <row r="9" spans="1:15">
      <c r="A9" s="26" t="s">
        <v>4</v>
      </c>
      <c r="B9" s="26"/>
      <c r="C9" s="26" t="str">
        <f>'Vessel Ullage'!C8</f>
        <v>Elite Star</v>
      </c>
      <c r="D9" s="26"/>
      <c r="E9" s="35" t="s">
        <v>5</v>
      </c>
      <c r="F9" s="26"/>
      <c r="G9" s="26" t="str">
        <f>'Vessel Ullage'!I8</f>
        <v>VLSFO</v>
      </c>
      <c r="K9" s="26"/>
    </row>
    <row r="10" spans="1:15">
      <c r="A10" s="26"/>
      <c r="B10" s="26"/>
      <c r="C10" s="26"/>
      <c r="D10" s="26"/>
      <c r="E10" s="26" t="s">
        <v>7</v>
      </c>
      <c r="F10" s="26"/>
      <c r="G10" s="26" t="str">
        <f>'Vessel Ullage'!I9</f>
        <v>Santos Port - Tiplam Terminal</v>
      </c>
      <c r="K10" s="26"/>
    </row>
    <row r="11" spans="1:15">
      <c r="A11" s="26" t="s">
        <v>8</v>
      </c>
      <c r="B11" s="26"/>
      <c r="C11" s="57" t="str">
        <f>'Vessel Ullage'!C10</f>
        <v>SC 60</v>
      </c>
      <c r="D11" s="57"/>
      <c r="E11" s="26" t="str">
        <f>'Vessel Ullage'!G10</f>
        <v>Survey Start:</v>
      </c>
      <c r="F11" s="26"/>
      <c r="G11" s="26" t="str">
        <f>'Vessel Ullage'!I10</f>
        <v>February 19th, 2026 - 08:00 lt</v>
      </c>
      <c r="K11" s="26"/>
    </row>
    <row r="12" spans="1:15">
      <c r="A12" s="26"/>
      <c r="B12" s="26"/>
      <c r="C12" s="274"/>
      <c r="D12" s="274"/>
      <c r="E12" s="26" t="str">
        <f>'Vessel Ullage'!G11</f>
        <v>Survey Completed:</v>
      </c>
      <c r="F12" s="26"/>
      <c r="G12" s="26" t="str">
        <f>'Vessel Ullage'!I11</f>
        <v>February 19th, 2026 - 21:00h lt</v>
      </c>
      <c r="K12" s="26"/>
    </row>
    <row r="13" spans="1:15" ht="12.75" customHeight="1">
      <c r="D13" s="55"/>
      <c r="E13" s="55"/>
      <c r="F13" s="55"/>
    </row>
    <row r="15" spans="1:15">
      <c r="A15" s="391" t="s">
        <v>87</v>
      </c>
      <c r="B15" s="391"/>
      <c r="C15" s="392"/>
      <c r="D15" s="69" t="s">
        <v>88</v>
      </c>
      <c r="E15" s="392" t="s">
        <v>89</v>
      </c>
      <c r="F15" s="393"/>
      <c r="G15" s="61"/>
      <c r="H15" s="385"/>
      <c r="I15" s="385"/>
      <c r="J15" s="385"/>
      <c r="K15" s="141"/>
      <c r="L15" s="141"/>
    </row>
    <row r="16" spans="1:15">
      <c r="A16" s="386" t="s">
        <v>90</v>
      </c>
      <c r="B16" s="387"/>
      <c r="C16" s="388"/>
      <c r="D16" s="155">
        <v>46072</v>
      </c>
      <c r="E16" s="218">
        <v>0.20833333333333334</v>
      </c>
      <c r="F16" s="218"/>
      <c r="G16" s="61"/>
      <c r="H16" s="384"/>
      <c r="I16" s="384"/>
      <c r="J16" s="384"/>
      <c r="K16" s="132"/>
      <c r="L16" s="133"/>
    </row>
    <row r="17" spans="1:25">
      <c r="A17" s="381" t="s">
        <v>91</v>
      </c>
      <c r="B17" s="382"/>
      <c r="C17" s="389"/>
      <c r="D17" s="155">
        <v>46072</v>
      </c>
      <c r="E17" s="218">
        <v>0.33333333333333331</v>
      </c>
      <c r="F17" s="218"/>
      <c r="G17" s="61"/>
      <c r="H17" s="142"/>
      <c r="I17" s="142"/>
      <c r="J17" s="142"/>
      <c r="K17" s="132"/>
      <c r="L17" s="133"/>
      <c r="Y17" s="214">
        <v>21418555</v>
      </c>
    </row>
    <row r="18" spans="1:25">
      <c r="A18" s="80" t="s">
        <v>94</v>
      </c>
      <c r="B18" s="81"/>
      <c r="C18" s="81"/>
      <c r="D18" s="155">
        <v>46072</v>
      </c>
      <c r="E18" s="218">
        <v>0.33333333333333331</v>
      </c>
      <c r="F18" s="218"/>
      <c r="G18" s="61"/>
      <c r="H18" s="142"/>
      <c r="I18" s="142"/>
      <c r="J18" s="142"/>
      <c r="K18" s="132"/>
      <c r="L18" s="133"/>
      <c r="Y18" s="214"/>
    </row>
    <row r="19" spans="1:25">
      <c r="A19" s="80" t="s">
        <v>95</v>
      </c>
      <c r="B19" s="81"/>
      <c r="C19" s="81"/>
      <c r="D19" s="155">
        <v>46072</v>
      </c>
      <c r="E19" s="218">
        <v>0.33680555555555558</v>
      </c>
      <c r="F19" s="218">
        <v>0.34027777777777779</v>
      </c>
      <c r="G19" s="61"/>
      <c r="H19" s="142"/>
      <c r="I19" s="142"/>
      <c r="J19" s="142"/>
      <c r="K19" s="132"/>
      <c r="L19" s="133"/>
      <c r="Y19" s="214"/>
    </row>
    <row r="20" spans="1:25">
      <c r="A20" s="378" t="s">
        <v>96</v>
      </c>
      <c r="B20" s="379"/>
      <c r="C20" s="380"/>
      <c r="D20" s="155">
        <v>46072</v>
      </c>
      <c r="E20" s="218">
        <v>0.34375</v>
      </c>
      <c r="F20" s="218">
        <v>0.3611111111111111</v>
      </c>
      <c r="G20" s="61"/>
      <c r="H20" s="142"/>
      <c r="I20" s="142"/>
      <c r="J20" s="142"/>
      <c r="K20" s="132"/>
      <c r="L20" s="133"/>
      <c r="Y20" s="214"/>
    </row>
    <row r="21" spans="1:25">
      <c r="A21" s="394" t="s">
        <v>92</v>
      </c>
      <c r="B21" s="395"/>
      <c r="C21" s="396"/>
      <c r="D21" s="155">
        <v>46072</v>
      </c>
      <c r="E21" s="218">
        <v>0.3611111111111111</v>
      </c>
      <c r="F21" s="218">
        <v>0.45833333333333331</v>
      </c>
      <c r="G21" s="61"/>
      <c r="H21" s="142"/>
      <c r="I21" s="142"/>
      <c r="J21" s="142"/>
      <c r="K21" s="132"/>
      <c r="L21" s="133"/>
    </row>
    <row r="22" spans="1:25">
      <c r="A22" s="80" t="s">
        <v>93</v>
      </c>
      <c r="B22" s="81"/>
      <c r="C22" s="82"/>
      <c r="D22" s="155">
        <v>46072</v>
      </c>
      <c r="E22" s="218">
        <v>0.45833333333333331</v>
      </c>
      <c r="F22" s="218"/>
      <c r="G22" s="61"/>
      <c r="H22" s="142"/>
      <c r="I22" s="142"/>
      <c r="J22" s="142"/>
      <c r="K22" s="132"/>
      <c r="L22" s="133"/>
    </row>
    <row r="23" spans="1:25" ht="12.75" customHeight="1">
      <c r="A23" s="80" t="s">
        <v>97</v>
      </c>
      <c r="B23" s="81"/>
      <c r="C23" s="82"/>
      <c r="D23" s="155">
        <v>46072</v>
      </c>
      <c r="E23" s="218">
        <v>0.4861111111111111</v>
      </c>
      <c r="F23" s="218"/>
      <c r="G23" s="62"/>
      <c r="H23" s="142"/>
      <c r="I23" s="142"/>
      <c r="J23" s="142"/>
      <c r="K23" s="132"/>
      <c r="L23" s="133"/>
    </row>
    <row r="24" spans="1:25">
      <c r="A24" s="378" t="s">
        <v>98</v>
      </c>
      <c r="B24" s="379"/>
      <c r="C24" s="380"/>
      <c r="D24" s="155">
        <v>46072</v>
      </c>
      <c r="E24" s="218">
        <v>0.53472222222222221</v>
      </c>
      <c r="F24" s="218">
        <v>0.55208333333333337</v>
      </c>
      <c r="G24" s="62"/>
      <c r="H24" s="142"/>
      <c r="I24" s="142"/>
      <c r="J24" s="142"/>
      <c r="K24" s="132"/>
      <c r="L24" s="133"/>
    </row>
    <row r="25" spans="1:25">
      <c r="A25" s="80" t="s">
        <v>99</v>
      </c>
      <c r="B25" s="85"/>
      <c r="C25" s="85"/>
      <c r="D25" s="155">
        <v>46072</v>
      </c>
      <c r="E25" s="218">
        <v>0.58333333333333337</v>
      </c>
      <c r="F25" s="218"/>
      <c r="G25" s="62"/>
      <c r="H25" s="142"/>
      <c r="I25" s="142"/>
      <c r="J25" s="142"/>
      <c r="K25" s="132"/>
      <c r="L25" s="133"/>
    </row>
    <row r="26" spans="1:25">
      <c r="A26" s="80" t="s">
        <v>100</v>
      </c>
      <c r="B26" s="81"/>
      <c r="C26" s="81"/>
      <c r="D26" s="155">
        <v>46072</v>
      </c>
      <c r="E26" s="218">
        <v>0.59375</v>
      </c>
      <c r="F26" s="218">
        <v>0.77083333333333337</v>
      </c>
      <c r="G26" s="62"/>
      <c r="H26" s="142"/>
      <c r="I26" s="142"/>
      <c r="J26" s="142"/>
      <c r="K26" s="132"/>
      <c r="L26" s="133"/>
    </row>
    <row r="27" spans="1:25">
      <c r="A27" s="378" t="s">
        <v>101</v>
      </c>
      <c r="B27" s="379"/>
      <c r="C27" s="380"/>
      <c r="D27" s="155">
        <v>46072</v>
      </c>
      <c r="E27" s="218">
        <v>0.77777777777777779</v>
      </c>
      <c r="F27" s="218">
        <v>0.79166666666666663</v>
      </c>
      <c r="G27" s="62"/>
      <c r="H27" s="142"/>
      <c r="I27" s="142"/>
      <c r="J27" s="142"/>
      <c r="K27" s="132"/>
      <c r="L27" s="133"/>
    </row>
    <row r="28" spans="1:25">
      <c r="A28" s="378" t="s">
        <v>102</v>
      </c>
      <c r="B28" s="379"/>
      <c r="C28" s="380"/>
      <c r="D28" s="155">
        <v>46072</v>
      </c>
      <c r="E28" s="218" t="s">
        <v>176</v>
      </c>
      <c r="F28" s="218">
        <v>0.8125</v>
      </c>
      <c r="G28" s="62"/>
      <c r="H28" s="142"/>
      <c r="I28" s="142"/>
      <c r="J28" s="142"/>
      <c r="K28" s="132"/>
      <c r="L28" s="133"/>
    </row>
    <row r="29" spans="1:25">
      <c r="A29" s="378" t="s">
        <v>103</v>
      </c>
      <c r="B29" s="379"/>
      <c r="C29" s="380"/>
      <c r="D29" s="155">
        <v>46072</v>
      </c>
      <c r="E29" s="218">
        <v>0.81944444444444442</v>
      </c>
      <c r="F29" s="218">
        <v>0.84375</v>
      </c>
      <c r="G29" s="62"/>
      <c r="H29" s="142"/>
      <c r="I29" s="142"/>
      <c r="J29" s="142"/>
      <c r="K29" s="132"/>
      <c r="L29" s="133"/>
    </row>
    <row r="30" spans="1:25">
      <c r="A30" s="378" t="s">
        <v>104</v>
      </c>
      <c r="B30" s="379"/>
      <c r="C30" s="380"/>
      <c r="D30" s="155">
        <v>46072</v>
      </c>
      <c r="E30" s="218">
        <v>0.85416666666666663</v>
      </c>
      <c r="F30" s="218"/>
      <c r="G30" s="62"/>
      <c r="H30" s="142"/>
      <c r="I30" s="142"/>
      <c r="J30" s="142"/>
      <c r="K30" s="132"/>
      <c r="L30" s="133"/>
    </row>
    <row r="31" spans="1:25">
      <c r="A31" s="80" t="s">
        <v>105</v>
      </c>
      <c r="B31" s="81"/>
      <c r="C31" s="81"/>
      <c r="D31" s="155">
        <v>46072</v>
      </c>
      <c r="E31" s="218">
        <v>0.86458333333333337</v>
      </c>
      <c r="F31" s="218"/>
      <c r="G31" s="62"/>
      <c r="H31" s="384"/>
      <c r="I31" s="384"/>
      <c r="J31" s="384"/>
      <c r="K31" s="132"/>
      <c r="L31" s="143"/>
    </row>
    <row r="32" spans="1:25">
      <c r="A32" s="381" t="s">
        <v>106</v>
      </c>
      <c r="B32" s="382"/>
      <c r="C32" s="382"/>
      <c r="D32" s="155">
        <v>46072</v>
      </c>
      <c r="E32" s="218">
        <v>0.875</v>
      </c>
      <c r="F32" s="218"/>
      <c r="G32" s="62"/>
      <c r="H32" s="383"/>
      <c r="I32" s="383"/>
      <c r="J32" s="383"/>
      <c r="K32" s="144"/>
      <c r="L32" s="143"/>
    </row>
    <row r="33" spans="1:13">
      <c r="A33" s="361"/>
      <c r="B33" s="361"/>
      <c r="C33" s="361"/>
    </row>
    <row r="34" spans="1:13" ht="12.75" customHeight="1">
      <c r="A34" s="397"/>
      <c r="B34" s="397"/>
      <c r="C34" s="397"/>
    </row>
    <row r="35" spans="1:13">
      <c r="A35" s="398" t="s">
        <v>107</v>
      </c>
      <c r="B35" s="398"/>
      <c r="C35" s="398"/>
    </row>
    <row r="36" spans="1:13">
      <c r="A36" s="55" t="s">
        <v>108</v>
      </c>
      <c r="D36" s="132"/>
      <c r="E36" s="132"/>
      <c r="G36" s="57"/>
      <c r="M36" s="57"/>
    </row>
    <row r="37" spans="1:13">
      <c r="D37" s="132"/>
      <c r="E37" s="132"/>
      <c r="F37" s="133"/>
      <c r="G37" s="57"/>
      <c r="M37" s="57"/>
    </row>
    <row r="45" spans="1:13">
      <c r="A45" s="55" t="s">
        <v>109</v>
      </c>
    </row>
    <row r="46" spans="1:13">
      <c r="A46" s="61"/>
      <c r="B46" s="61"/>
      <c r="C46" s="61"/>
      <c r="D46" s="68"/>
      <c r="E46" s="68"/>
      <c r="F46" s="68"/>
      <c r="G46" s="61"/>
      <c r="H46" s="61"/>
      <c r="I46" s="61"/>
      <c r="J46" s="61"/>
      <c r="K46" s="61"/>
      <c r="L46" s="61"/>
    </row>
    <row r="47" spans="1:13">
      <c r="A47" s="61"/>
      <c r="B47" s="61"/>
      <c r="C47" s="61"/>
      <c r="D47" s="68"/>
      <c r="E47" s="68"/>
      <c r="F47" s="68"/>
      <c r="G47" s="61"/>
      <c r="H47" s="61"/>
      <c r="I47" s="61"/>
      <c r="J47" s="61"/>
      <c r="K47" s="61"/>
      <c r="L47" s="61"/>
    </row>
    <row r="48" spans="1:13">
      <c r="A48" s="61"/>
      <c r="B48" s="61"/>
      <c r="C48" s="61"/>
      <c r="D48" s="68"/>
      <c r="E48" s="68"/>
      <c r="F48" s="68"/>
      <c r="G48" s="61"/>
      <c r="H48" s="61"/>
      <c r="I48" s="61"/>
      <c r="J48" s="61"/>
      <c r="K48" s="61"/>
      <c r="L48" s="61"/>
    </row>
    <row r="49" spans="1:12">
      <c r="A49" s="61"/>
      <c r="B49" s="61"/>
      <c r="C49" s="61"/>
      <c r="D49" s="68"/>
      <c r="E49" s="68"/>
      <c r="F49" s="68"/>
      <c r="G49" s="61"/>
      <c r="H49" s="61"/>
      <c r="I49" s="61"/>
      <c r="J49" s="61"/>
      <c r="K49" s="61"/>
      <c r="L49" s="61"/>
    </row>
    <row r="50" spans="1:12">
      <c r="A50" s="61"/>
      <c r="B50" s="61"/>
      <c r="C50" s="61"/>
      <c r="D50" s="68"/>
      <c r="E50" s="68"/>
      <c r="F50" s="68"/>
      <c r="G50" s="61"/>
      <c r="H50" s="61"/>
      <c r="I50" s="61"/>
      <c r="J50" s="61"/>
      <c r="K50" s="61"/>
      <c r="L50" s="61"/>
    </row>
    <row r="51" spans="1:12">
      <c r="A51" s="61"/>
      <c r="B51" s="61"/>
      <c r="C51" s="61"/>
      <c r="D51" s="68"/>
      <c r="E51" s="68"/>
      <c r="F51" s="68"/>
      <c r="G51" s="61"/>
      <c r="H51" s="61"/>
      <c r="I51" s="61"/>
      <c r="J51" s="61"/>
      <c r="K51" s="61"/>
      <c r="L51" s="61"/>
    </row>
    <row r="52" spans="1:12">
      <c r="A52" s="61"/>
      <c r="B52" s="61"/>
      <c r="C52" s="61"/>
      <c r="D52" s="68"/>
      <c r="E52" s="68"/>
      <c r="F52" s="68"/>
      <c r="G52" s="61"/>
      <c r="H52" s="61"/>
      <c r="I52" s="61"/>
      <c r="J52" s="61"/>
      <c r="K52" s="61"/>
      <c r="L52" s="61"/>
    </row>
    <row r="53" spans="1:12">
      <c r="A53" s="61"/>
      <c r="B53" s="61"/>
      <c r="C53" s="61"/>
      <c r="D53" s="68"/>
      <c r="E53" s="68"/>
      <c r="F53" s="68"/>
      <c r="G53" s="61"/>
      <c r="H53" s="61"/>
      <c r="I53" s="61"/>
      <c r="J53" s="61"/>
      <c r="K53" s="61"/>
      <c r="L53" s="61"/>
    </row>
    <row r="55" spans="1:12">
      <c r="G55" s="58"/>
      <c r="H55" s="59"/>
      <c r="I55" s="59"/>
      <c r="K55" s="60"/>
    </row>
    <row r="56" spans="1:12">
      <c r="A56" s="39" t="s">
        <v>55</v>
      </c>
      <c r="B56" s="39"/>
      <c r="C56" s="369" t="str">
        <f>'Vessel Ullage'!D74</f>
        <v>YEPING WU</v>
      </c>
      <c r="D56" s="369"/>
      <c r="E56" s="47"/>
      <c r="G56" s="361" t="s">
        <v>56</v>
      </c>
      <c r="H56" s="361"/>
      <c r="I56" s="369" t="str">
        <f>'Vessel Ullage'!K74</f>
        <v>ARTHUR ARANTES FELICIO</v>
      </c>
      <c r="J56" s="369"/>
      <c r="K56" s="369"/>
    </row>
    <row r="57" spans="1:12">
      <c r="A57" s="57"/>
    </row>
  </sheetData>
  <sheetProtection selectLockedCells="1"/>
  <mergeCells count="28">
    <mergeCell ref="A21:C21"/>
    <mergeCell ref="A34:C34"/>
    <mergeCell ref="C56:D56"/>
    <mergeCell ref="A35:C35"/>
    <mergeCell ref="I56:K56"/>
    <mergeCell ref="A33:C33"/>
    <mergeCell ref="G56:H56"/>
    <mergeCell ref="A24:C24"/>
    <mergeCell ref="A27:C27"/>
    <mergeCell ref="A28:C28"/>
    <mergeCell ref="A29:C29"/>
    <mergeCell ref="A30:C30"/>
    <mergeCell ref="A20:C20"/>
    <mergeCell ref="F2:K2"/>
    <mergeCell ref="G3:K3"/>
    <mergeCell ref="F4:K4"/>
    <mergeCell ref="A32:C32"/>
    <mergeCell ref="H32:J32"/>
    <mergeCell ref="C12:D12"/>
    <mergeCell ref="H31:J31"/>
    <mergeCell ref="H15:J15"/>
    <mergeCell ref="H16:J16"/>
    <mergeCell ref="A16:C16"/>
    <mergeCell ref="A17:C17"/>
    <mergeCell ref="G5:K5"/>
    <mergeCell ref="A7:L7"/>
    <mergeCell ref="A15:C15"/>
    <mergeCell ref="E15:F15"/>
  </mergeCells>
  <phoneticPr fontId="0" type="noConversion"/>
  <hyperlinks>
    <hyperlink ref="F4" r:id="rId1" xr:uid="{00000000-0004-0000-02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showGridLines="0" view="pageBreakPreview" topLeftCell="A20" zoomScaleNormal="100" zoomScaleSheetLayoutView="100" workbookViewId="0">
      <selection activeCell="J31" sqref="J31"/>
    </sheetView>
  </sheetViews>
  <sheetFormatPr defaultColWidth="9.1328125" defaultRowHeight="13.15"/>
  <cols>
    <col min="1" max="2" width="9.1328125" style="26"/>
    <col min="3" max="3" width="12.265625" style="26" customWidth="1"/>
    <col min="4" max="4" width="12.1328125" style="26" customWidth="1"/>
    <col min="5" max="5" width="14" style="26" customWidth="1"/>
    <col min="6" max="6" width="3.59765625" style="26" customWidth="1"/>
    <col min="7" max="7" width="13.73046875" style="26" customWidth="1"/>
    <col min="8" max="11" width="9.1328125" style="26"/>
    <col min="12" max="12" width="4.265625" style="26" customWidth="1"/>
    <col min="13" max="16384" width="9.1328125" style="26"/>
  </cols>
  <sheetData>
    <row r="1" spans="1:12">
      <c r="A1" s="25"/>
      <c r="B1" s="25"/>
      <c r="C1" s="25"/>
      <c r="D1" s="25"/>
      <c r="E1" s="25"/>
      <c r="F1" s="25"/>
      <c r="G1" s="25"/>
      <c r="H1" s="25"/>
      <c r="I1" s="25"/>
      <c r="J1" s="25"/>
      <c r="K1" s="40"/>
    </row>
    <row r="2" spans="1:12" ht="15.75">
      <c r="A2" s="25"/>
      <c r="B2" s="25"/>
      <c r="C2" s="25"/>
      <c r="D2" s="25"/>
      <c r="E2" s="25"/>
      <c r="F2" s="40"/>
      <c r="G2" s="273" t="s">
        <v>0</v>
      </c>
      <c r="H2" s="273"/>
      <c r="I2" s="273"/>
      <c r="J2" s="273"/>
      <c r="K2" s="273"/>
      <c r="L2" s="30"/>
    </row>
    <row r="3" spans="1:12" ht="12.75" customHeight="1">
      <c r="A3" s="25"/>
      <c r="B3" s="25"/>
      <c r="C3" s="25"/>
      <c r="D3" s="25"/>
      <c r="E3" s="25"/>
      <c r="F3" s="40"/>
      <c r="G3" s="282" t="s">
        <v>1</v>
      </c>
      <c r="H3" s="282"/>
      <c r="I3" s="282"/>
      <c r="J3" s="282"/>
      <c r="K3" s="282"/>
      <c r="L3" s="71"/>
    </row>
    <row r="4" spans="1:12" ht="12.75" customHeight="1">
      <c r="A4" s="25"/>
      <c r="B4" s="25"/>
      <c r="C4" s="25"/>
      <c r="D4" s="25"/>
      <c r="E4" s="25"/>
      <c r="F4" s="283" t="s">
        <v>2</v>
      </c>
      <c r="G4" s="283"/>
      <c r="H4" s="283"/>
      <c r="I4" s="283"/>
      <c r="J4" s="283"/>
      <c r="K4" s="283"/>
      <c r="L4" s="32"/>
    </row>
    <row r="5" spans="1:12" ht="12.75" customHeight="1">
      <c r="A5" s="41"/>
      <c r="B5" s="41"/>
      <c r="C5" s="41"/>
      <c r="D5" s="41"/>
      <c r="E5" s="41"/>
      <c r="F5" s="41"/>
      <c r="G5" s="284"/>
      <c r="H5" s="284"/>
      <c r="I5" s="284"/>
      <c r="J5" s="284"/>
      <c r="K5" s="284"/>
      <c r="L5" s="284"/>
    </row>
    <row r="6" spans="1:12" ht="12.7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2" ht="12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2" ht="12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2" ht="12.75" customHeight="1">
      <c r="A9" s="275" t="s">
        <v>110</v>
      </c>
      <c r="B9" s="275"/>
      <c r="C9" s="275"/>
      <c r="D9" s="275"/>
      <c r="E9" s="275"/>
      <c r="F9" s="275"/>
      <c r="G9" s="275"/>
      <c r="H9" s="275"/>
      <c r="I9" s="275"/>
      <c r="J9" s="275"/>
      <c r="K9" s="275"/>
    </row>
    <row r="11" spans="1:12">
      <c r="A11" s="25" t="s">
        <v>4</v>
      </c>
      <c r="C11" s="26" t="str">
        <f>'Vessel Ullage'!C8</f>
        <v>Elite Star</v>
      </c>
      <c r="E11" s="158" t="s">
        <v>5</v>
      </c>
      <c r="G11" s="26" t="str">
        <f>'Vessel Ullage'!I8</f>
        <v>VLSFO</v>
      </c>
    </row>
    <row r="12" spans="1:12">
      <c r="A12" s="25"/>
      <c r="E12" s="25" t="s">
        <v>7</v>
      </c>
      <c r="G12" s="26" t="str">
        <f>'Vessel Ullage'!I9</f>
        <v>Santos Port - Tiplam Terminal</v>
      </c>
    </row>
    <row r="13" spans="1:12">
      <c r="A13" s="25" t="s">
        <v>8</v>
      </c>
      <c r="C13" s="57" t="str">
        <f>'Vessel Ullage'!C10</f>
        <v>SC 60</v>
      </c>
      <c r="D13" s="57"/>
      <c r="E13" s="25" t="str">
        <f>'Vessel Ullage'!G10</f>
        <v>Survey Start:</v>
      </c>
      <c r="G13" s="26" t="str">
        <f>'Vessel Ullage'!I10</f>
        <v>February 19th, 2026 - 08:00 lt</v>
      </c>
    </row>
    <row r="14" spans="1:12">
      <c r="C14" s="274"/>
      <c r="D14" s="274"/>
      <c r="E14" s="25" t="str">
        <f>'Vessel Ullage'!G11</f>
        <v>Survey Completed:</v>
      </c>
      <c r="G14" s="26" t="str">
        <f>'Vessel Ullage'!I11</f>
        <v>February 19th, 2026 - 21:00h lt</v>
      </c>
    </row>
    <row r="17" spans="1:11">
      <c r="A17" s="26" t="s">
        <v>111</v>
      </c>
    </row>
    <row r="18" spans="1:11" ht="13.5" thickBot="1"/>
    <row r="19" spans="1:11">
      <c r="A19" s="421" t="s">
        <v>112</v>
      </c>
      <c r="B19" s="422"/>
      <c r="C19" s="422"/>
      <c r="D19" s="405" t="str">
        <f>'Vessel Ullage'!C10</f>
        <v>SC 60</v>
      </c>
      <c r="E19" s="406"/>
      <c r="H19" s="55"/>
      <c r="I19" s="55"/>
      <c r="J19" s="55"/>
      <c r="K19" s="55"/>
    </row>
    <row r="20" spans="1:11">
      <c r="A20" s="401" t="s">
        <v>20</v>
      </c>
      <c r="B20" s="402"/>
      <c r="C20" s="402"/>
      <c r="D20" s="423" t="str">
        <f>'Vessel Ullage'!I8</f>
        <v>VLSFO</v>
      </c>
      <c r="E20" s="424"/>
      <c r="H20" s="55"/>
      <c r="I20" s="55"/>
      <c r="J20" s="55"/>
      <c r="K20" s="55"/>
    </row>
    <row r="21" spans="1:11">
      <c r="A21" s="401" t="s">
        <v>113</v>
      </c>
      <c r="B21" s="402"/>
      <c r="C21" s="402"/>
      <c r="D21" s="425" t="s">
        <v>180</v>
      </c>
      <c r="E21" s="426"/>
      <c r="F21" s="57"/>
      <c r="G21" s="67"/>
      <c r="H21" s="55"/>
      <c r="I21" s="55"/>
      <c r="J21" s="55"/>
      <c r="K21" s="55"/>
    </row>
    <row r="22" spans="1:11">
      <c r="A22" s="399" t="s">
        <v>114</v>
      </c>
      <c r="B22" s="400"/>
      <c r="C22" s="400"/>
      <c r="D22" s="407" t="s">
        <v>115</v>
      </c>
      <c r="E22" s="408"/>
      <c r="F22" s="57"/>
      <c r="G22" s="67"/>
      <c r="H22" s="55"/>
      <c r="I22" s="55"/>
      <c r="J22" s="55"/>
      <c r="K22" s="55"/>
    </row>
    <row r="23" spans="1:11">
      <c r="A23" s="403" t="s">
        <v>116</v>
      </c>
      <c r="B23" s="404"/>
      <c r="C23" s="404"/>
      <c r="D23" s="420" t="s">
        <v>117</v>
      </c>
      <c r="E23" s="414"/>
      <c r="F23" s="413" t="s">
        <v>118</v>
      </c>
      <c r="G23" s="414"/>
      <c r="H23" s="55"/>
      <c r="I23" s="55"/>
      <c r="J23" s="55"/>
      <c r="K23" s="55"/>
    </row>
    <row r="24" spans="1:11">
      <c r="A24" s="417" t="s">
        <v>119</v>
      </c>
      <c r="B24" s="418"/>
      <c r="C24" s="419"/>
      <c r="D24" s="397" t="s">
        <v>148</v>
      </c>
      <c r="E24" s="415"/>
      <c r="F24" s="411" t="s">
        <v>120</v>
      </c>
      <c r="G24" s="412"/>
      <c r="H24" s="55"/>
      <c r="I24" s="55"/>
      <c r="J24" s="55"/>
      <c r="K24" s="55"/>
    </row>
    <row r="25" spans="1:11">
      <c r="A25" s="427" t="s">
        <v>121</v>
      </c>
      <c r="B25" s="428"/>
      <c r="C25" s="428"/>
      <c r="D25" s="303" t="s">
        <v>122</v>
      </c>
      <c r="E25" s="416"/>
      <c r="F25" s="304" t="s">
        <v>123</v>
      </c>
      <c r="G25" s="416"/>
      <c r="H25" s="55"/>
      <c r="I25" s="55"/>
      <c r="J25" s="55"/>
      <c r="K25" s="55"/>
    </row>
    <row r="26" spans="1:11">
      <c r="A26" s="429" t="s">
        <v>124</v>
      </c>
      <c r="B26" s="430"/>
      <c r="C26" s="430"/>
      <c r="D26" s="435" t="s">
        <v>168</v>
      </c>
      <c r="E26" s="434"/>
      <c r="F26" s="433" t="s">
        <v>173</v>
      </c>
      <c r="G26" s="434"/>
      <c r="H26" s="112"/>
      <c r="I26" s="112"/>
      <c r="J26" s="112"/>
      <c r="K26" s="112"/>
    </row>
    <row r="27" spans="1:11">
      <c r="A27" s="159" t="s">
        <v>125</v>
      </c>
      <c r="B27" s="160"/>
      <c r="C27" s="161"/>
      <c r="D27" s="436" t="s">
        <v>169</v>
      </c>
      <c r="E27" s="410"/>
      <c r="F27" s="409" t="s">
        <v>172</v>
      </c>
      <c r="G27" s="410"/>
      <c r="H27" s="112"/>
      <c r="I27" s="112"/>
      <c r="J27" s="112"/>
      <c r="K27" s="112"/>
    </row>
    <row r="28" spans="1:11">
      <c r="A28" s="431" t="s">
        <v>126</v>
      </c>
      <c r="B28" s="432"/>
      <c r="C28" s="432"/>
      <c r="D28" s="436" t="s">
        <v>170</v>
      </c>
      <c r="E28" s="410"/>
      <c r="F28" s="409" t="s">
        <v>175</v>
      </c>
      <c r="G28" s="410"/>
      <c r="H28" s="112"/>
      <c r="I28" s="112"/>
      <c r="J28" s="112"/>
      <c r="K28" s="112"/>
    </row>
    <row r="29" spans="1:11">
      <c r="A29" s="431" t="s">
        <v>127</v>
      </c>
      <c r="B29" s="432"/>
      <c r="C29" s="432"/>
      <c r="D29" s="436" t="s">
        <v>171</v>
      </c>
      <c r="E29" s="410"/>
      <c r="F29" s="409" t="s">
        <v>174</v>
      </c>
      <c r="G29" s="410"/>
      <c r="H29" s="112"/>
      <c r="I29" s="112"/>
      <c r="J29" s="112"/>
      <c r="K29" s="112"/>
    </row>
    <row r="30" spans="1:11" ht="13.5" thickBot="1">
      <c r="A30" s="399" t="s">
        <v>128</v>
      </c>
      <c r="B30" s="400"/>
      <c r="C30" s="400"/>
      <c r="D30" s="439">
        <v>7375836</v>
      </c>
      <c r="E30" s="438"/>
      <c r="F30" s="437" t="s">
        <v>52</v>
      </c>
      <c r="G30" s="438"/>
    </row>
    <row r="33" spans="1:12">
      <c r="A33" s="26" t="s">
        <v>129</v>
      </c>
      <c r="C33" s="60"/>
      <c r="D33" s="60"/>
      <c r="E33" s="60"/>
      <c r="F33" s="60"/>
      <c r="G33" s="55"/>
      <c r="H33" s="55"/>
      <c r="I33" s="55"/>
      <c r="J33" s="55"/>
      <c r="K33" s="55"/>
      <c r="L33" s="55"/>
    </row>
    <row r="34" spans="1:12">
      <c r="C34" s="47"/>
      <c r="D34" s="47"/>
      <c r="E34" s="47"/>
      <c r="F34" s="47"/>
      <c r="G34" s="47"/>
      <c r="H34" s="47"/>
      <c r="I34" s="47"/>
      <c r="J34" s="47"/>
      <c r="K34" s="47"/>
    </row>
    <row r="35" spans="1:12">
      <c r="C35" s="47"/>
      <c r="D35" s="47"/>
      <c r="E35" s="47"/>
      <c r="F35" s="47"/>
      <c r="G35" s="47"/>
      <c r="H35" s="47"/>
      <c r="I35" s="47"/>
      <c r="J35" s="47"/>
      <c r="K35" s="47"/>
    </row>
    <row r="36" spans="1:12">
      <c r="C36" s="47"/>
      <c r="D36" s="47"/>
      <c r="E36" s="47"/>
      <c r="F36" s="47"/>
      <c r="G36" s="47"/>
      <c r="H36" s="47"/>
      <c r="I36" s="47"/>
      <c r="J36" s="47"/>
      <c r="K36" s="47"/>
    </row>
    <row r="37" spans="1:12">
      <c r="A37" s="48"/>
      <c r="B37" s="48"/>
      <c r="C37" s="48"/>
      <c r="D37" s="48"/>
      <c r="E37" s="36"/>
      <c r="F37" s="36"/>
      <c r="G37" s="36"/>
      <c r="H37" s="37"/>
      <c r="I37" s="37"/>
      <c r="K37" s="38"/>
    </row>
    <row r="38" spans="1:12">
      <c r="A38" s="39" t="s">
        <v>55</v>
      </c>
      <c r="B38" s="39"/>
      <c r="C38" s="369" t="str">
        <f>'Vessel Ullage'!D74</f>
        <v>YEPING WU</v>
      </c>
      <c r="D38" s="369"/>
      <c r="G38" s="39" t="s">
        <v>56</v>
      </c>
      <c r="I38" s="369" t="str">
        <f>'Vessel Ullage'!K74</f>
        <v>ARTHUR ARANTES FELICIO</v>
      </c>
      <c r="J38" s="369"/>
      <c r="K38" s="369"/>
    </row>
    <row r="40" spans="1:12">
      <c r="E40" s="26" t="s">
        <v>130</v>
      </c>
    </row>
  </sheetData>
  <sheetProtection selectLockedCells="1"/>
  <mergeCells count="39">
    <mergeCell ref="I38:K38"/>
    <mergeCell ref="A25:C25"/>
    <mergeCell ref="A26:C26"/>
    <mergeCell ref="A28:C28"/>
    <mergeCell ref="F25:G25"/>
    <mergeCell ref="A29:C29"/>
    <mergeCell ref="F26:G26"/>
    <mergeCell ref="F27:G27"/>
    <mergeCell ref="F28:G28"/>
    <mergeCell ref="D26:E26"/>
    <mergeCell ref="C38:D38"/>
    <mergeCell ref="D28:E28"/>
    <mergeCell ref="D29:E29"/>
    <mergeCell ref="D27:E27"/>
    <mergeCell ref="F30:G30"/>
    <mergeCell ref="D30:E30"/>
    <mergeCell ref="F29:G29"/>
    <mergeCell ref="F24:G24"/>
    <mergeCell ref="F23:G23"/>
    <mergeCell ref="D24:E24"/>
    <mergeCell ref="G2:K2"/>
    <mergeCell ref="D25:E25"/>
    <mergeCell ref="C14:D14"/>
    <mergeCell ref="G3:K3"/>
    <mergeCell ref="F4:K4"/>
    <mergeCell ref="A24:C24"/>
    <mergeCell ref="D23:E23"/>
    <mergeCell ref="G5:L5"/>
    <mergeCell ref="A9:K9"/>
    <mergeCell ref="A19:C19"/>
    <mergeCell ref="D20:E20"/>
    <mergeCell ref="D21:E21"/>
    <mergeCell ref="A30:C30"/>
    <mergeCell ref="A21:C21"/>
    <mergeCell ref="A22:C22"/>
    <mergeCell ref="A23:C23"/>
    <mergeCell ref="D19:E19"/>
    <mergeCell ref="D22:E22"/>
    <mergeCell ref="A20:C20"/>
  </mergeCells>
  <phoneticPr fontId="0" type="noConversion"/>
  <hyperlinks>
    <hyperlink ref="F4" r:id="rId1" xr:uid="{00000000-0004-0000-03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showGridLines="0" view="pageBreakPreview" topLeftCell="A12" zoomScaleNormal="100" zoomScaleSheetLayoutView="100" workbookViewId="0">
      <selection activeCell="I28" sqref="I28"/>
    </sheetView>
  </sheetViews>
  <sheetFormatPr defaultColWidth="9.1328125" defaultRowHeight="13.15"/>
  <cols>
    <col min="1" max="1" width="9.3984375" style="6" bestFit="1" customWidth="1"/>
    <col min="2" max="2" width="14.1328125" style="6" customWidth="1"/>
    <col min="3" max="3" width="2.73046875" style="6" customWidth="1"/>
    <col min="4" max="4" width="17.73046875" style="6" bestFit="1" customWidth="1"/>
    <col min="5" max="5" width="13.265625" style="6" customWidth="1"/>
    <col min="6" max="6" width="10.265625" style="6" bestFit="1" customWidth="1"/>
    <col min="7" max="7" width="10.1328125" style="6" bestFit="1" customWidth="1"/>
    <col min="8" max="8" width="9.1328125" style="6"/>
    <col min="9" max="9" width="27.86328125" style="6" customWidth="1"/>
    <col min="10" max="10" width="7" style="6" customWidth="1"/>
    <col min="11" max="16384" width="9.1328125" style="6"/>
  </cols>
  <sheetData>
    <row r="1" spans="1:12">
      <c r="A1" s="16"/>
      <c r="B1" s="16"/>
      <c r="C1" s="16"/>
      <c r="D1" s="16"/>
      <c r="E1" s="16"/>
      <c r="F1" s="16"/>
      <c r="G1" s="16"/>
      <c r="H1" s="16"/>
      <c r="I1" s="16"/>
    </row>
    <row r="2" spans="1:12" ht="15.75">
      <c r="A2" s="16"/>
      <c r="B2" s="16"/>
      <c r="C2" s="16"/>
      <c r="D2" s="16"/>
      <c r="E2" s="16"/>
      <c r="F2" s="16"/>
      <c r="G2" s="273" t="s">
        <v>0</v>
      </c>
      <c r="H2" s="273"/>
      <c r="I2" s="273"/>
      <c r="J2" s="273"/>
      <c r="K2" s="30"/>
      <c r="L2" s="30"/>
    </row>
    <row r="3" spans="1:12" ht="15.75" customHeight="1">
      <c r="A3" s="16"/>
      <c r="B3" s="16"/>
      <c r="C3" s="16"/>
      <c r="D3" s="16"/>
      <c r="E3" s="16"/>
      <c r="F3" s="16"/>
      <c r="G3" s="29"/>
      <c r="H3" s="282" t="s">
        <v>1</v>
      </c>
      <c r="I3" s="282"/>
      <c r="J3" s="282"/>
      <c r="K3" s="71"/>
      <c r="L3" s="71"/>
    </row>
    <row r="4" spans="1:12" ht="14.25">
      <c r="A4" s="16"/>
      <c r="B4" s="16"/>
      <c r="C4" s="16"/>
      <c r="D4" s="16"/>
      <c r="E4" s="16"/>
      <c r="F4" s="16"/>
      <c r="G4" s="283" t="s">
        <v>2</v>
      </c>
      <c r="H4" s="283"/>
      <c r="I4" s="283"/>
      <c r="J4" s="283"/>
      <c r="K4" s="157"/>
      <c r="L4" s="157"/>
    </row>
    <row r="5" spans="1:12">
      <c r="A5" s="16"/>
      <c r="B5" s="16"/>
      <c r="C5" s="16"/>
      <c r="D5" s="16"/>
      <c r="E5" s="16"/>
      <c r="F5" s="16"/>
      <c r="G5" s="24"/>
      <c r="H5" s="24"/>
      <c r="I5" s="24"/>
    </row>
    <row r="6" spans="1:12">
      <c r="A6" s="16"/>
      <c r="B6" s="16"/>
      <c r="C6" s="16"/>
      <c r="D6" s="16"/>
      <c r="E6" s="16"/>
      <c r="F6" s="16"/>
      <c r="G6" s="16"/>
      <c r="H6" s="16"/>
      <c r="I6" s="16"/>
    </row>
    <row r="8" spans="1:12" s="7" customFormat="1" ht="13.9">
      <c r="A8" s="26" t="s">
        <v>4</v>
      </c>
      <c r="B8" s="26"/>
      <c r="C8" s="26" t="str">
        <f>'Vessel Ullage'!C8</f>
        <v>Elite Star</v>
      </c>
      <c r="D8" s="26"/>
      <c r="E8" s="26"/>
      <c r="F8" s="26" t="s">
        <v>5</v>
      </c>
      <c r="H8" s="26" t="str">
        <f>'Sounding Barge'!J9</f>
        <v>VLSFO</v>
      </c>
      <c r="J8" s="26"/>
    </row>
    <row r="9" spans="1:12" s="7" customFormat="1" ht="13.9">
      <c r="A9" s="26"/>
      <c r="B9" s="26"/>
      <c r="C9" s="26"/>
      <c r="D9" s="26"/>
      <c r="E9" s="26"/>
      <c r="F9" s="26" t="s">
        <v>7</v>
      </c>
      <c r="H9" s="26" t="str">
        <f>'Vessel Ullage'!I9</f>
        <v>Santos Port - Tiplam Terminal</v>
      </c>
      <c r="J9" s="26"/>
    </row>
    <row r="10" spans="1:12" s="7" customFormat="1" ht="13.9">
      <c r="A10" s="26" t="s">
        <v>8</v>
      </c>
      <c r="B10" s="26"/>
      <c r="C10" s="57" t="str">
        <f>'Vessel Ullage'!C10</f>
        <v>SC 60</v>
      </c>
      <c r="D10" s="57"/>
      <c r="E10" s="26"/>
      <c r="F10" s="26" t="str">
        <f>'Vessel Ullage'!G10</f>
        <v>Survey Start:</v>
      </c>
      <c r="H10" s="26" t="str">
        <f>'Vessel Ullage'!I10</f>
        <v>February 19th, 2026 - 08:00 lt</v>
      </c>
      <c r="J10" s="26"/>
    </row>
    <row r="11" spans="1:12" s="7" customFormat="1" ht="13.9">
      <c r="A11" s="26"/>
      <c r="B11" s="26"/>
      <c r="C11" s="274"/>
      <c r="D11" s="274"/>
      <c r="E11" s="26"/>
      <c r="F11" s="26" t="str">
        <f>'Vessel Ullage'!G11</f>
        <v>Survey Completed:</v>
      </c>
      <c r="H11" s="26" t="str">
        <f>'Vessel Ullage'!I11</f>
        <v>February 19th, 2026 - 21:00h lt</v>
      </c>
      <c r="J11" s="26"/>
    </row>
    <row r="12" spans="1:12" s="7" customFormat="1" ht="13.9"/>
    <row r="13" spans="1:12" s="7" customFormat="1" ht="13.9">
      <c r="A13" s="212" t="s">
        <v>131</v>
      </c>
      <c r="B13" s="212"/>
      <c r="C13" s="212"/>
    </row>
    <row r="14" spans="1:12" s="7" customFormat="1" ht="13.9"/>
    <row r="15" spans="1:12" s="7" customFormat="1" ht="13.9">
      <c r="A15" s="7" t="s">
        <v>132</v>
      </c>
    </row>
    <row r="16" spans="1:12" s="7" customFormat="1" ht="13.9"/>
    <row r="18" spans="1:9" ht="12.75" customHeight="1">
      <c r="B18" s="17"/>
      <c r="C18" s="17"/>
      <c r="D18" s="17"/>
      <c r="E18" s="17"/>
      <c r="F18" s="213" t="s">
        <v>133</v>
      </c>
      <c r="G18" s="17"/>
      <c r="H18" s="17"/>
      <c r="I18" s="17"/>
    </row>
    <row r="19" spans="1:9">
      <c r="E19" s="8"/>
    </row>
    <row r="20" spans="1:9">
      <c r="E20" s="8"/>
    </row>
    <row r="22" spans="1:9" s="7" customFormat="1" ht="13.9"/>
    <row r="23" spans="1:9" s="7" customFormat="1" ht="13.9">
      <c r="A23" s="209" t="s">
        <v>134</v>
      </c>
      <c r="B23" s="209" t="str">
        <f>'Vessel Ullage'!C8</f>
        <v>Elite Star</v>
      </c>
      <c r="C23" s="209"/>
      <c r="D23" s="210"/>
      <c r="F23" s="210" t="s">
        <v>135</v>
      </c>
      <c r="G23" s="223"/>
      <c r="H23" s="224"/>
      <c r="I23" s="14"/>
    </row>
    <row r="24" spans="1:9" s="7" customFormat="1" ht="13.9"/>
    <row r="25" spans="1:9" s="7" customFormat="1" ht="13.9">
      <c r="A25" s="209" t="s">
        <v>136</v>
      </c>
      <c r="B25" s="210" t="str">
        <f>'Vessel Ullage'!I9</f>
        <v>Santos Port - Tiplam Terminal</v>
      </c>
      <c r="C25" s="211"/>
      <c r="D25" s="211"/>
      <c r="E25" s="211"/>
      <c r="F25" s="209" t="s">
        <v>137</v>
      </c>
      <c r="G25" s="210" t="str">
        <f>'Vessel Ullage'!I8</f>
        <v>VLSFO</v>
      </c>
      <c r="H25" s="211"/>
      <c r="I25" s="14"/>
    </row>
    <row r="26" spans="1:9" s="7" customFormat="1" ht="13.9">
      <c r="B26" s="14"/>
      <c r="C26" s="14"/>
      <c r="D26" s="14"/>
      <c r="E26" s="14"/>
    </row>
    <row r="27" spans="1:9" s="7" customFormat="1" ht="13.9"/>
    <row r="28" spans="1:9" s="7" customFormat="1" ht="13.9">
      <c r="A28" s="7" t="s">
        <v>138</v>
      </c>
    </row>
    <row r="29" spans="1:9" s="7" customFormat="1" ht="13.9">
      <c r="A29" s="7" t="s">
        <v>139</v>
      </c>
    </row>
    <row r="30" spans="1:9" s="7" customFormat="1" ht="13.9"/>
    <row r="31" spans="1:9" s="7" customFormat="1" ht="14.25" thickBot="1"/>
    <row r="32" spans="1:9" s="7" customFormat="1" ht="13.9">
      <c r="A32" s="18"/>
      <c r="B32" s="18"/>
      <c r="C32" s="18"/>
      <c r="D32" s="19"/>
      <c r="E32" s="73"/>
      <c r="F32" s="74" t="s">
        <v>140</v>
      </c>
      <c r="G32" s="20"/>
      <c r="H32" s="18"/>
      <c r="I32" s="18"/>
    </row>
    <row r="33" spans="1:10" s="7" customFormat="1" ht="13.9">
      <c r="A33" s="15"/>
      <c r="B33" s="14"/>
      <c r="C33" s="14"/>
      <c r="D33" s="21" t="s">
        <v>47</v>
      </c>
      <c r="E33" s="22" t="s">
        <v>141</v>
      </c>
      <c r="F33" s="21" t="s">
        <v>48</v>
      </c>
      <c r="G33" s="22" t="s">
        <v>54</v>
      </c>
      <c r="H33" s="14"/>
      <c r="I33" s="14"/>
    </row>
    <row r="34" spans="1:10" s="7" customFormat="1" ht="14.25" thickBot="1">
      <c r="A34" s="15"/>
      <c r="D34" s="203">
        <f>'Vessel Ullage'!L58</f>
        <v>900.02200000000005</v>
      </c>
      <c r="E34" s="202">
        <f>'Vessel Ullage'!L59</f>
        <v>900.14075861522974</v>
      </c>
      <c r="F34" s="203">
        <f>'Vessel Ullage'!L60</f>
        <v>0.11875861522969444</v>
      </c>
      <c r="G34" s="202">
        <f>'Vessel Ullage'!L61</f>
        <v>1.3195079145809151E-2</v>
      </c>
    </row>
    <row r="35" spans="1:10" s="7" customFormat="1" ht="13.9">
      <c r="A35" s="15"/>
      <c r="D35" s="14"/>
      <c r="E35" s="14"/>
      <c r="F35" s="14"/>
      <c r="G35" s="14"/>
    </row>
    <row r="36" spans="1:10" s="7" customFormat="1" ht="15" customHeight="1">
      <c r="A36" s="7" t="s">
        <v>142</v>
      </c>
    </row>
    <row r="37" spans="1:10" s="7" customFormat="1" ht="15" customHeight="1"/>
    <row r="38" spans="1:10" s="7" customFormat="1" ht="15" customHeight="1"/>
    <row r="39" spans="1:10" s="7" customFormat="1" ht="15" customHeight="1"/>
    <row r="40" spans="1:10" s="7" customFormat="1" ht="15" customHeight="1"/>
    <row r="41" spans="1:10" s="7" customFormat="1" ht="15" customHeight="1"/>
    <row r="42" spans="1:10" s="7" customFormat="1" ht="13.9"/>
    <row r="43" spans="1:10" s="7" customFormat="1" ht="13.9">
      <c r="A43" s="7" t="s">
        <v>143</v>
      </c>
    </row>
    <row r="44" spans="1:10" s="7" customFormat="1" ht="13.9">
      <c r="A44" s="23"/>
      <c r="B44" s="9"/>
      <c r="C44" s="9"/>
      <c r="D44" s="9"/>
      <c r="E44" s="11"/>
      <c r="F44" s="10"/>
      <c r="G44" s="10"/>
      <c r="H44" s="13"/>
      <c r="I44" s="13"/>
      <c r="J44" s="6"/>
    </row>
    <row r="45" spans="1:10">
      <c r="A45" s="5" t="s">
        <v>144</v>
      </c>
      <c r="B45" s="12"/>
      <c r="C45" s="12"/>
      <c r="D45" s="12"/>
      <c r="E45" s="12"/>
      <c r="G45" s="12" t="s">
        <v>56</v>
      </c>
      <c r="I45" s="84" t="str">
        <f>'Vessel Ullage'!K74</f>
        <v>ARTHUR ARANTES FELICIO</v>
      </c>
    </row>
    <row r="46" spans="1:10">
      <c r="A46" s="6" t="s">
        <v>145</v>
      </c>
    </row>
  </sheetData>
  <sheetProtection selectLockedCells="1"/>
  <mergeCells count="4">
    <mergeCell ref="C11:D11"/>
    <mergeCell ref="G2:J2"/>
    <mergeCell ref="H3:J3"/>
    <mergeCell ref="G4:J4"/>
  </mergeCells>
  <phoneticPr fontId="0" type="noConversion"/>
  <hyperlinks>
    <hyperlink ref="G4" r:id="rId1" xr:uid="{00000000-0004-0000-0400-000000000000}"/>
  </hyperlinks>
  <pageMargins left="0.31496062992125984" right="0.23622047244094491" top="0.98425196850393704" bottom="0.98425196850393704" header="0.51181102362204722" footer="0.51181102362204722"/>
  <pageSetup paperSize="9" scale="78" orientation="portrait" blackAndWhite="1" horizontalDpi="300" verticalDpi="3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>
      <selection activeCell="C38" sqref="C38"/>
    </sheetView>
  </sheetViews>
  <sheetFormatPr defaultColWidth="9" defaultRowHeight="12.75"/>
  <cols>
    <col min="1" max="2" width="9.1328125" style="4" customWidth="1"/>
    <col min="3" max="16384" width="9" style="2"/>
  </cols>
  <sheetData>
    <row r="1" spans="1:2" ht="25.5">
      <c r="A1" s="1" t="s">
        <v>146</v>
      </c>
      <c r="B1" s="1" t="s">
        <v>147</v>
      </c>
    </row>
    <row r="2" spans="1:2">
      <c r="A2" s="3">
        <v>0.5</v>
      </c>
      <c r="B2" s="4">
        <v>0.99775000000000003</v>
      </c>
    </row>
    <row r="3" spans="1:2">
      <c r="A3" s="3">
        <v>0.51910000000000001</v>
      </c>
      <c r="B3" s="4">
        <v>0.99775000000000003</v>
      </c>
    </row>
    <row r="4" spans="1:2">
      <c r="A4" s="3">
        <v>0.51919999999999999</v>
      </c>
      <c r="B4" s="4">
        <v>0.99785000000000001</v>
      </c>
    </row>
    <row r="5" spans="1:2">
      <c r="A5" s="3">
        <v>0.54210000000000003</v>
      </c>
      <c r="B5" s="4">
        <v>0.99785000000000001</v>
      </c>
    </row>
    <row r="6" spans="1:2">
      <c r="A6" s="3">
        <v>0.54220000000000002</v>
      </c>
      <c r="B6" s="4">
        <v>0.99795</v>
      </c>
    </row>
    <row r="7" spans="1:2">
      <c r="A7" s="3">
        <v>0.56730000000000003</v>
      </c>
      <c r="B7" s="4">
        <v>0.99795</v>
      </c>
    </row>
    <row r="8" spans="1:2">
      <c r="A8" s="3">
        <v>0.56740000000000002</v>
      </c>
      <c r="B8" s="4">
        <v>0.99804999999999999</v>
      </c>
    </row>
    <row r="9" spans="1:2">
      <c r="A9" s="3">
        <v>0.59499999999999997</v>
      </c>
      <c r="B9" s="4">
        <v>0.99804999999999999</v>
      </c>
    </row>
    <row r="10" spans="1:2">
      <c r="A10" s="3">
        <v>0.59509999999999996</v>
      </c>
      <c r="B10" s="4">
        <v>0.99814999999999998</v>
      </c>
    </row>
    <row r="11" spans="1:2">
      <c r="A11" s="3">
        <v>0.62549999999999994</v>
      </c>
      <c r="B11" s="4">
        <v>0.99814999999999998</v>
      </c>
    </row>
    <row r="12" spans="1:2">
      <c r="A12" s="3">
        <v>0.62560000000000004</v>
      </c>
      <c r="B12" s="4">
        <v>0.99824999999999997</v>
      </c>
    </row>
    <row r="13" spans="1:2">
      <c r="A13" s="3">
        <v>0.6593</v>
      </c>
      <c r="B13" s="4">
        <v>0.99824999999999997</v>
      </c>
    </row>
    <row r="14" spans="1:2">
      <c r="A14" s="3">
        <v>0.65939999999999999</v>
      </c>
      <c r="B14" s="4">
        <v>0.99834999999999996</v>
      </c>
    </row>
    <row r="15" spans="1:2">
      <c r="A15" s="3">
        <v>0.69699999999999995</v>
      </c>
      <c r="B15" s="4">
        <v>0.99834999999999996</v>
      </c>
    </row>
    <row r="16" spans="1:2">
      <c r="A16" s="3">
        <v>0.69710000000000005</v>
      </c>
      <c r="B16" s="4">
        <v>0.99844999999999995</v>
      </c>
    </row>
    <row r="17" spans="1:2">
      <c r="A17" s="3">
        <v>0.73919999999999997</v>
      </c>
      <c r="B17" s="4">
        <v>0.99844999999999995</v>
      </c>
    </row>
    <row r="18" spans="1:2">
      <c r="A18" s="3">
        <v>0.73929999999999996</v>
      </c>
      <c r="B18" s="4">
        <v>0.99855000000000005</v>
      </c>
    </row>
    <row r="19" spans="1:2">
      <c r="A19" s="3">
        <v>0.78690000000000004</v>
      </c>
      <c r="B19" s="4">
        <v>0.99855000000000005</v>
      </c>
    </row>
    <row r="20" spans="1:2">
      <c r="A20" s="3">
        <v>0.78700000000000003</v>
      </c>
      <c r="B20" s="4">
        <v>0.99865000000000004</v>
      </c>
    </row>
    <row r="21" spans="1:2">
      <c r="A21" s="3">
        <v>0.84109999999999996</v>
      </c>
      <c r="B21" s="4">
        <v>0.99865000000000004</v>
      </c>
    </row>
    <row r="22" spans="1:2">
      <c r="A22" s="3">
        <v>0.84119999999999995</v>
      </c>
      <c r="B22" s="4">
        <v>0.99875000000000003</v>
      </c>
    </row>
    <row r="23" spans="1:2">
      <c r="A23" s="3">
        <v>0.90339999999999998</v>
      </c>
      <c r="B23" s="4">
        <v>0.99875000000000003</v>
      </c>
    </row>
    <row r="24" spans="1:2">
      <c r="A24" s="3">
        <v>0.90349999999999997</v>
      </c>
      <c r="B24" s="4">
        <v>0.99885000000000002</v>
      </c>
    </row>
    <row r="25" spans="1:2">
      <c r="A25" s="3">
        <v>0.97560000000000002</v>
      </c>
      <c r="B25" s="4">
        <v>0.99885000000000002</v>
      </c>
    </row>
    <row r="26" spans="1:2">
      <c r="A26" s="3">
        <v>0.97570000000000001</v>
      </c>
      <c r="B26" s="4">
        <v>0.99895</v>
      </c>
    </row>
    <row r="27" spans="1:2">
      <c r="A27" s="3">
        <v>1.0604</v>
      </c>
      <c r="B27" s="4">
        <v>0.99895</v>
      </c>
    </row>
    <row r="28" spans="1:2">
      <c r="A28" s="3">
        <v>1.0605</v>
      </c>
      <c r="B28" s="4">
        <v>0.99904999999999999</v>
      </c>
    </row>
    <row r="29" spans="1:2">
      <c r="A29" s="3">
        <v>1.1000000000000001</v>
      </c>
      <c r="B29" s="4">
        <v>0.99904999999999999</v>
      </c>
    </row>
  </sheetData>
  <phoneticPr fontId="7" type="noConversion"/>
  <printOptions horizontalCentered="1"/>
  <pageMargins left="1.25" right="1.25" top="3" bottom="2.5" header="0.51180555555555562" footer="0.51180555555555562"/>
  <pageSetup paperSize="9" scale="97" firstPageNumber="0" fitToHeight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486E44FC1E1E4C84FA9FA658674617" ma:contentTypeVersion="18" ma:contentTypeDescription="Crie um novo documento." ma:contentTypeScope="" ma:versionID="cc267e9f46e7a3f187cde538ee69b43b">
  <xsd:schema xmlns:xsd="http://www.w3.org/2001/XMLSchema" xmlns:xs="http://www.w3.org/2001/XMLSchema" xmlns:p="http://schemas.microsoft.com/office/2006/metadata/properties" xmlns:ns2="09e51f4a-57fe-4690-a6a0-08abb60e44cb" xmlns:ns3="c3c5eb31-f15d-4b84-a3c7-30f17623d447" targetNamespace="http://schemas.microsoft.com/office/2006/metadata/properties" ma:root="true" ma:fieldsID="c2fba0100f593cf1792177de29c7e4e5" ns2:_="" ns3:_="">
    <xsd:import namespace="09e51f4a-57fe-4690-a6a0-08abb60e44cb"/>
    <xsd:import namespace="c3c5eb31-f15d-4b84-a3c7-30f17623d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51f4a-57fe-4690-a6a0-08abb60e4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eb31-f15d-4b84-a3c7-30f17623d44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de379af-0777-41e0-b8bd-0ae8279417b7}" ma:internalName="TaxCatchAll" ma:showField="CatchAllData" ma:web="c3c5eb31-f15d-4b84-a3c7-30f17623d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e51f4a-57fe-4690-a6a0-08abb60e44cb">
      <Terms xmlns="http://schemas.microsoft.com/office/infopath/2007/PartnerControls"/>
    </lcf76f155ced4ddcb4097134ff3c332f>
    <TaxCatchAll xmlns="c3c5eb31-f15d-4b84-a3c7-30f17623d447" xsi:nil="true"/>
  </documentManagement>
</p:properties>
</file>

<file path=customXml/itemProps1.xml><?xml version="1.0" encoding="utf-8"?>
<ds:datastoreItem xmlns:ds="http://schemas.openxmlformats.org/officeDocument/2006/customXml" ds:itemID="{A45949F2-F100-49A5-9BCD-1DE39F0D0E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555216-ED6A-4776-9BB4-4E07C336F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51f4a-57fe-4690-a6a0-08abb60e44cb"/>
    <ds:schemaRef ds:uri="c3c5eb31-f15d-4b84-a3c7-30f17623d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61ADA-2F48-4C6B-8AA1-34EC2795DBC4}">
  <ds:schemaRefs>
    <ds:schemaRef ds:uri="http://schemas.microsoft.com/office/2006/metadata/properties"/>
    <ds:schemaRef ds:uri="http://schemas.microsoft.com/office/infopath/2007/PartnerControls"/>
    <ds:schemaRef ds:uri="09e51f4a-57fe-4690-a6a0-08abb60e44cb"/>
    <ds:schemaRef ds:uri="c3c5eb31-f15d-4b84-a3c7-30f17623d44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Vessel Ullage</vt:lpstr>
      <vt:lpstr>Sounding Barge</vt:lpstr>
      <vt:lpstr>Time Log</vt:lpstr>
      <vt:lpstr>Sample Report</vt:lpstr>
      <vt:lpstr>Letter of Protest (2)</vt:lpstr>
      <vt:lpstr>VacuoAr</vt:lpstr>
      <vt:lpstr>'Letter of Protest (2)'!Area_de_impressao</vt:lpstr>
      <vt:lpstr>'Sounding Barge'!Area_de_impressao</vt:lpstr>
      <vt:lpstr>'Time Log'!Area_de_impressao</vt:lpstr>
      <vt:lpstr>'Vessel Ullage'!Area_de_impressao</vt:lpstr>
    </vt:vector>
  </TitlesOfParts>
  <Manager/>
  <Company>Intertek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Lloyds</dc:title>
  <dc:subject>Lloyds FOBAS/BQS</dc:subject>
  <dc:creator>José Augusto Pinto/Marcelo Padovani</dc:creator>
  <cp:keywords/>
  <dc:description>versão 2.05 (2x)</dc:description>
  <cp:lastModifiedBy>Wagner Abreu - Naabsa surveyors</cp:lastModifiedBy>
  <cp:revision/>
  <cp:lastPrinted>2026-02-19T23:53:52Z</cp:lastPrinted>
  <dcterms:created xsi:type="dcterms:W3CDTF">2004-08-12T22:33:19Z</dcterms:created>
  <dcterms:modified xsi:type="dcterms:W3CDTF">2026-03-18T13:38:44Z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0x01010060486E44FC1E1E4C84FA9FA658674617</vt:lpwstr>
  </property>
  <property fmtid="{D5CDD505-2E9C-101B-9397-08002B2CF9AE}" pid="3" name="MediaServiceImageTags">
    <vt:lpwstr/>
  </property>
</Properties>
</file>