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8_{28609980-84C9-4166-B8FA-DC59D385DBBC}" xr6:coauthVersionLast="47" xr6:coauthVersionMax="47" xr10:uidLastSave="{00000000-0000-0000-0000-000000000000}"/>
  <workbookProtection workbookAlgorithmName="SHA-512" workbookHashValue="8bc5dl6pcYN2jX6ij2isIuScHwTYJJj679UKGP/9E/jsAADJcp9bQQWTiD6v8wfh5fN/W2csjks3WvvJWjNBew==" workbookSaltValue="v9snir8ZGc43OVLUpdDF/w==" workbookSpinCount="100000" lockStructure="1"/>
  <bookViews>
    <workbookView xWindow="-108" yWindow="-108" windowWidth="23256" windowHeight="12456" tabRatio="754" xr2:uid="{00000000-000D-0000-FFFF-FFFF00000000}"/>
  </bookViews>
  <sheets>
    <sheet name="Vessel Ullage" sheetId="8" r:id="rId1"/>
    <sheet name="Sounding Barge" sheetId="9" r:id="rId2"/>
    <sheet name="Time Log" sheetId="10" r:id="rId3"/>
    <sheet name="Sample Report" sheetId="21" r:id="rId4"/>
    <sheet name="Letter of Protest" sheetId="25" r:id="rId5"/>
    <sheet name="VacuoAr" sheetId="13" state="hidden" r:id="rId6"/>
  </sheets>
  <definedNames>
    <definedName name="_xlnm.Print_Area" localSheetId="4">'Letter of Protest'!$A$1:$J$47</definedName>
    <definedName name="_xlnm.Print_Area" localSheetId="1">'Sounding Barge'!$B$1:$N$39</definedName>
    <definedName name="_xlnm.Print_Area" localSheetId="0">'Vessel Ullage'!$A$1:$U$82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" i="8" l="1"/>
  <c r="A63" i="8"/>
  <c r="A64" i="8"/>
  <c r="A65" i="8"/>
  <c r="A66" i="8"/>
  <c r="L66" i="8" s="1"/>
  <c r="A67" i="8"/>
  <c r="L67" i="8" s="1"/>
  <c r="A68" i="8"/>
  <c r="L68" i="8" s="1"/>
  <c r="A69" i="8"/>
  <c r="L69" i="8" s="1"/>
  <c r="A70" i="8"/>
  <c r="M66" i="8"/>
  <c r="M67" i="8"/>
  <c r="M68" i="8"/>
  <c r="M69" i="8"/>
  <c r="M70" i="8"/>
  <c r="L64" i="8"/>
  <c r="L65" i="8"/>
  <c r="L70" i="8"/>
  <c r="K64" i="8"/>
  <c r="K65" i="8"/>
  <c r="K66" i="8"/>
  <c r="K67" i="8"/>
  <c r="K68" i="8"/>
  <c r="K69" i="8"/>
  <c r="K70" i="8"/>
  <c r="J62" i="8"/>
  <c r="J63" i="8"/>
  <c r="J64" i="8"/>
  <c r="J65" i="8"/>
  <c r="S60" i="8" s="1"/>
  <c r="J66" i="8"/>
  <c r="J67" i="8"/>
  <c r="J68" i="8"/>
  <c r="J69" i="8"/>
  <c r="J70" i="8"/>
  <c r="I70" i="8"/>
  <c r="I62" i="8"/>
  <c r="I63" i="8"/>
  <c r="I64" i="8"/>
  <c r="I65" i="8"/>
  <c r="I66" i="8"/>
  <c r="I67" i="8"/>
  <c r="I68" i="8"/>
  <c r="I69" i="8"/>
  <c r="H62" i="8"/>
  <c r="K62" i="8" s="1"/>
  <c r="M62" i="8" s="1"/>
  <c r="H63" i="8"/>
  <c r="K63" i="8" s="1"/>
  <c r="H64" i="8"/>
  <c r="H65" i="8"/>
  <c r="H66" i="8"/>
  <c r="H67" i="8"/>
  <c r="H68" i="8"/>
  <c r="H69" i="8"/>
  <c r="H70" i="8"/>
  <c r="G33" i="8"/>
  <c r="H33" i="8" s="1"/>
  <c r="K33" i="8" s="1"/>
  <c r="M33" i="8" s="1"/>
  <c r="L34" i="8"/>
  <c r="L35" i="8"/>
  <c r="L36" i="8"/>
  <c r="L37" i="8"/>
  <c r="L38" i="8"/>
  <c r="L39" i="8"/>
  <c r="L40" i="8"/>
  <c r="L41" i="8"/>
  <c r="K34" i="8"/>
  <c r="M34" i="8" s="1"/>
  <c r="K35" i="8"/>
  <c r="M35" i="8" s="1"/>
  <c r="K36" i="8"/>
  <c r="M36" i="8" s="1"/>
  <c r="K37" i="8"/>
  <c r="M37" i="8" s="1"/>
  <c r="K38" i="8"/>
  <c r="M38" i="8" s="1"/>
  <c r="K39" i="8"/>
  <c r="M39" i="8" s="1"/>
  <c r="K40" i="8"/>
  <c r="M40" i="8" s="1"/>
  <c r="K41" i="8"/>
  <c r="M41" i="8" s="1"/>
  <c r="I33" i="8"/>
  <c r="I34" i="8"/>
  <c r="I35" i="8"/>
  <c r="I36" i="8"/>
  <c r="I37" i="8"/>
  <c r="I38" i="8"/>
  <c r="I39" i="8"/>
  <c r="I40" i="8"/>
  <c r="I41" i="8"/>
  <c r="H34" i="8"/>
  <c r="H35" i="8"/>
  <c r="H36" i="8"/>
  <c r="H37" i="8"/>
  <c r="H38" i="8"/>
  <c r="H39" i="8"/>
  <c r="H40" i="8"/>
  <c r="H41" i="8"/>
  <c r="B53" i="9"/>
  <c r="M53" i="9" s="1"/>
  <c r="I45" i="9"/>
  <c r="B54" i="9"/>
  <c r="B55" i="9"/>
  <c r="M56" i="9" s="1"/>
  <c r="B56" i="9"/>
  <c r="M57" i="9" s="1"/>
  <c r="B57" i="9"/>
  <c r="M58" i="9" s="1"/>
  <c r="B58" i="9"/>
  <c r="C54" i="9"/>
  <c r="C55" i="9"/>
  <c r="C56" i="9"/>
  <c r="C57" i="9"/>
  <c r="C58" i="9"/>
  <c r="J58" i="9"/>
  <c r="J56" i="9"/>
  <c r="J55" i="9"/>
  <c r="J54" i="9"/>
  <c r="I58" i="9"/>
  <c r="I57" i="9"/>
  <c r="I56" i="9"/>
  <c r="I55" i="9"/>
  <c r="I54" i="9"/>
  <c r="N58" i="9"/>
  <c r="N57" i="9"/>
  <c r="N56" i="9"/>
  <c r="N55" i="9"/>
  <c r="N54" i="9"/>
  <c r="M55" i="9"/>
  <c r="L58" i="9"/>
  <c r="L57" i="9"/>
  <c r="L56" i="9"/>
  <c r="L55" i="9"/>
  <c r="L54" i="9"/>
  <c r="K54" i="9"/>
  <c r="I28" i="9"/>
  <c r="I29" i="9"/>
  <c r="I30" i="9"/>
  <c r="I31" i="9"/>
  <c r="I32" i="9"/>
  <c r="I33" i="9"/>
  <c r="I34" i="9"/>
  <c r="J29" i="9"/>
  <c r="J30" i="9"/>
  <c r="J31" i="9"/>
  <c r="J32" i="9"/>
  <c r="J33" i="9"/>
  <c r="J34" i="9"/>
  <c r="M29" i="9"/>
  <c r="M30" i="9"/>
  <c r="M31" i="9"/>
  <c r="M32" i="9"/>
  <c r="M33" i="9"/>
  <c r="M34" i="9"/>
  <c r="L29" i="9"/>
  <c r="L30" i="9"/>
  <c r="L31" i="9"/>
  <c r="L32" i="9"/>
  <c r="L33" i="9"/>
  <c r="L34" i="9"/>
  <c r="K34" i="9"/>
  <c r="K58" i="9" s="1"/>
  <c r="K33" i="9"/>
  <c r="K57" i="9" s="1"/>
  <c r="K32" i="9"/>
  <c r="K56" i="9" s="1"/>
  <c r="K31" i="9"/>
  <c r="K55" i="9" s="1"/>
  <c r="K30" i="9"/>
  <c r="K29" i="9"/>
  <c r="O46" i="9"/>
  <c r="N53" i="9"/>
  <c r="L53" i="9"/>
  <c r="J53" i="9"/>
  <c r="I53" i="9"/>
  <c r="C53" i="9"/>
  <c r="O45" i="9"/>
  <c r="I52" i="9"/>
  <c r="C52" i="9"/>
  <c r="B52" i="9"/>
  <c r="O29" i="9"/>
  <c r="N29" i="9"/>
  <c r="O28" i="9"/>
  <c r="K28" i="9"/>
  <c r="P28" i="9" s="1"/>
  <c r="N60" i="8"/>
  <c r="M65" i="8"/>
  <c r="N59" i="8"/>
  <c r="M64" i="8"/>
  <c r="N58" i="8"/>
  <c r="R59" i="8"/>
  <c r="Q58" i="8"/>
  <c r="N57" i="8"/>
  <c r="S57" i="8"/>
  <c r="S36" i="8"/>
  <c r="R36" i="8"/>
  <c r="Q36" i="8"/>
  <c r="P36" i="8"/>
  <c r="O36" i="8"/>
  <c r="N36" i="8"/>
  <c r="S35" i="8"/>
  <c r="R35" i="8"/>
  <c r="Q35" i="8"/>
  <c r="P35" i="8"/>
  <c r="O35" i="8"/>
  <c r="N35" i="8"/>
  <c r="S34" i="8"/>
  <c r="R34" i="8"/>
  <c r="Q34" i="8"/>
  <c r="P34" i="8"/>
  <c r="O34" i="8"/>
  <c r="N34" i="8"/>
  <c r="S33" i="8"/>
  <c r="R33" i="8"/>
  <c r="Q33" i="8"/>
  <c r="P33" i="8"/>
  <c r="O33" i="8"/>
  <c r="N33" i="8"/>
  <c r="A51" i="8"/>
  <c r="G25" i="25"/>
  <c r="D34" i="25"/>
  <c r="J51" i="8"/>
  <c r="Q46" i="8" s="1"/>
  <c r="J52" i="8"/>
  <c r="Q47" i="8" s="1"/>
  <c r="J53" i="8"/>
  <c r="O48" i="8" s="1"/>
  <c r="J54" i="8"/>
  <c r="P49" i="8" s="1"/>
  <c r="Q49" i="8"/>
  <c r="J55" i="8"/>
  <c r="O50" i="8" s="1"/>
  <c r="J56" i="8"/>
  <c r="J57" i="8"/>
  <c r="P52" i="8" s="1"/>
  <c r="J58" i="8"/>
  <c r="P53" i="8" s="1"/>
  <c r="J59" i="8"/>
  <c r="P54" i="8" s="1"/>
  <c r="J60" i="8"/>
  <c r="Q55" i="8" s="1"/>
  <c r="J61" i="8"/>
  <c r="Q56" i="8" s="1"/>
  <c r="J50" i="8"/>
  <c r="Q45" i="8" s="1"/>
  <c r="A60" i="8"/>
  <c r="A61" i="8"/>
  <c r="H60" i="8"/>
  <c r="N55" i="8"/>
  <c r="N31" i="8"/>
  <c r="O31" i="8"/>
  <c r="P31" i="8"/>
  <c r="Q31" i="8"/>
  <c r="R31" i="8" s="1"/>
  <c r="S31" i="8" s="1"/>
  <c r="I31" i="8" s="1"/>
  <c r="H31" i="8"/>
  <c r="K27" i="9"/>
  <c r="R27" i="9" s="1"/>
  <c r="K26" i="9"/>
  <c r="P26" i="9" s="1"/>
  <c r="K25" i="9"/>
  <c r="Q25" i="9" s="1"/>
  <c r="K24" i="9"/>
  <c r="K48" i="9" s="1"/>
  <c r="K23" i="9"/>
  <c r="Q23" i="9" s="1"/>
  <c r="K22" i="9"/>
  <c r="K46" i="9" s="1"/>
  <c r="K21" i="9"/>
  <c r="Q21" i="9" s="1"/>
  <c r="K20" i="9"/>
  <c r="O41" i="9"/>
  <c r="O42" i="9"/>
  <c r="I49" i="9"/>
  <c r="I48" i="9"/>
  <c r="C45" i="9"/>
  <c r="C46" i="9"/>
  <c r="C47" i="9"/>
  <c r="C48" i="9"/>
  <c r="C49" i="9"/>
  <c r="C50" i="9"/>
  <c r="C51" i="9"/>
  <c r="C44" i="9"/>
  <c r="B45" i="9"/>
  <c r="B46" i="9"/>
  <c r="B47" i="9"/>
  <c r="B48" i="9"/>
  <c r="B49" i="9"/>
  <c r="B50" i="9"/>
  <c r="B51" i="9"/>
  <c r="B44" i="9"/>
  <c r="I24" i="9"/>
  <c r="I25" i="9"/>
  <c r="O24" i="9"/>
  <c r="O25" i="9"/>
  <c r="H55" i="8"/>
  <c r="N50" i="8"/>
  <c r="A52" i="8"/>
  <c r="A53" i="8"/>
  <c r="A54" i="8"/>
  <c r="A55" i="8"/>
  <c r="A56" i="8"/>
  <c r="A57" i="8"/>
  <c r="A58" i="8"/>
  <c r="A59" i="8"/>
  <c r="A50" i="8"/>
  <c r="O26" i="8"/>
  <c r="P26" i="8"/>
  <c r="Q26" i="8"/>
  <c r="H26" i="8"/>
  <c r="N26" i="8"/>
  <c r="H9" i="25"/>
  <c r="G23" i="25"/>
  <c r="Y37" i="9"/>
  <c r="Y38" i="9" s="1"/>
  <c r="D19" i="21"/>
  <c r="D20" i="21"/>
  <c r="O44" i="9"/>
  <c r="I51" i="9"/>
  <c r="O43" i="9"/>
  <c r="I50" i="9"/>
  <c r="O40" i="9"/>
  <c r="I47" i="9"/>
  <c r="O39" i="9"/>
  <c r="I46" i="9"/>
  <c r="O38" i="9"/>
  <c r="O37" i="9"/>
  <c r="I44" i="9"/>
  <c r="C11" i="10"/>
  <c r="C56" i="10"/>
  <c r="E77" i="9"/>
  <c r="I45" i="25"/>
  <c r="I38" i="21"/>
  <c r="I56" i="10"/>
  <c r="O27" i="9"/>
  <c r="I27" i="9"/>
  <c r="O26" i="9"/>
  <c r="I26" i="9"/>
  <c r="O23" i="9"/>
  <c r="I23" i="9"/>
  <c r="O22" i="9"/>
  <c r="I22" i="9"/>
  <c r="O21" i="9"/>
  <c r="I21" i="9"/>
  <c r="O20" i="9"/>
  <c r="I20" i="9"/>
  <c r="B25" i="25"/>
  <c r="B23" i="25"/>
  <c r="H11" i="25"/>
  <c r="H10" i="25"/>
  <c r="C10" i="25"/>
  <c r="C8" i="25"/>
  <c r="G12" i="10"/>
  <c r="G11" i="10"/>
  <c r="G10" i="10"/>
  <c r="G9" i="10"/>
  <c r="C9" i="10"/>
  <c r="G14" i="21"/>
  <c r="G13" i="21"/>
  <c r="G12" i="21"/>
  <c r="G11" i="21"/>
  <c r="C13" i="21"/>
  <c r="C11" i="21"/>
  <c r="J12" i="9"/>
  <c r="J11" i="9"/>
  <c r="J10" i="9"/>
  <c r="J9" i="9"/>
  <c r="H8" i="25" s="1"/>
  <c r="D9" i="9"/>
  <c r="D11" i="9"/>
  <c r="C38" i="21"/>
  <c r="H51" i="8"/>
  <c r="H52" i="8"/>
  <c r="H53" i="8"/>
  <c r="H54" i="8"/>
  <c r="H56" i="8"/>
  <c r="H57" i="8"/>
  <c r="H58" i="8"/>
  <c r="H59" i="8"/>
  <c r="H61" i="8"/>
  <c r="N46" i="8"/>
  <c r="N47" i="8"/>
  <c r="N48" i="8"/>
  <c r="N49" i="8"/>
  <c r="N51" i="8"/>
  <c r="N52" i="8"/>
  <c r="N53" i="8"/>
  <c r="N54" i="8"/>
  <c r="N56" i="8"/>
  <c r="N45" i="8"/>
  <c r="H21" i="8"/>
  <c r="H22" i="8"/>
  <c r="H23" i="8"/>
  <c r="H24" i="8"/>
  <c r="H25" i="8"/>
  <c r="H27" i="8"/>
  <c r="H28" i="8"/>
  <c r="H29" i="8"/>
  <c r="H30" i="8"/>
  <c r="H32" i="8"/>
  <c r="N21" i="8"/>
  <c r="O21" i="8"/>
  <c r="P21" i="8"/>
  <c r="Q21" i="8"/>
  <c r="N22" i="8"/>
  <c r="O22" i="8"/>
  <c r="P22" i="8"/>
  <c r="Q22" i="8"/>
  <c r="N23" i="8"/>
  <c r="O23" i="8"/>
  <c r="P23" i="8"/>
  <c r="Q23" i="8"/>
  <c r="N24" i="8"/>
  <c r="O24" i="8"/>
  <c r="P24" i="8"/>
  <c r="Q24" i="8"/>
  <c r="N25" i="8"/>
  <c r="O25" i="8"/>
  <c r="P25" i="8"/>
  <c r="Q25" i="8"/>
  <c r="N27" i="8"/>
  <c r="O27" i="8"/>
  <c r="P27" i="8"/>
  <c r="Q27" i="8"/>
  <c r="N28" i="8"/>
  <c r="O28" i="8"/>
  <c r="P28" i="8"/>
  <c r="Q28" i="8"/>
  <c r="N29" i="8"/>
  <c r="O29" i="8"/>
  <c r="P29" i="8"/>
  <c r="Q29" i="8"/>
  <c r="N30" i="8"/>
  <c r="O30" i="8"/>
  <c r="P30" i="8"/>
  <c r="Q30" i="8"/>
  <c r="N32" i="8"/>
  <c r="O32" i="8"/>
  <c r="P32" i="8"/>
  <c r="Q32" i="8"/>
  <c r="H50" i="8"/>
  <c r="J77" i="9"/>
  <c r="O47" i="8"/>
  <c r="L63" i="8" l="1"/>
  <c r="M63" i="8"/>
  <c r="O46" i="8"/>
  <c r="P46" i="8"/>
  <c r="O52" i="8"/>
  <c r="Q53" i="8"/>
  <c r="L33" i="8"/>
  <c r="R30" i="8"/>
  <c r="S30" i="8" s="1"/>
  <c r="I30" i="8" s="1"/>
  <c r="K30" i="8" s="1"/>
  <c r="R23" i="8"/>
  <c r="S23" i="8" s="1"/>
  <c r="I23" i="8" s="1"/>
  <c r="K23" i="8" s="1"/>
  <c r="L23" i="8" s="1"/>
  <c r="R27" i="8"/>
  <c r="S27" i="8" s="1"/>
  <c r="I27" i="8" s="1"/>
  <c r="K27" i="8" s="1"/>
  <c r="R22" i="8"/>
  <c r="S22" i="8" s="1"/>
  <c r="I22" i="8" s="1"/>
  <c r="K22" i="8" s="1"/>
  <c r="O59" i="8"/>
  <c r="N61" i="8"/>
  <c r="H71" i="8"/>
  <c r="P23" i="9"/>
  <c r="M54" i="9"/>
  <c r="R24" i="9"/>
  <c r="Q26" i="9"/>
  <c r="Q27" i="9"/>
  <c r="K51" i="9"/>
  <c r="Q44" i="9" s="1"/>
  <c r="P27" i="9"/>
  <c r="I35" i="9"/>
  <c r="K53" i="9"/>
  <c r="Q46" i="9" s="1"/>
  <c r="R21" i="9"/>
  <c r="R25" i="9"/>
  <c r="Q28" i="9"/>
  <c r="P21" i="9"/>
  <c r="I59" i="9"/>
  <c r="K45" i="9"/>
  <c r="Q38" i="9" s="1"/>
  <c r="R28" i="9"/>
  <c r="K35" i="9"/>
  <c r="P24" i="9"/>
  <c r="P25" i="9"/>
  <c r="S25" i="9" s="1"/>
  <c r="T25" i="9" s="1"/>
  <c r="J25" i="9" s="1"/>
  <c r="L25" i="9" s="1"/>
  <c r="P20" i="9"/>
  <c r="K52" i="9"/>
  <c r="P59" i="8"/>
  <c r="O45" i="8"/>
  <c r="R24" i="8"/>
  <c r="S24" i="8" s="1"/>
  <c r="I24" i="8" s="1"/>
  <c r="K24" i="8" s="1"/>
  <c r="L24" i="8" s="1"/>
  <c r="Q57" i="8"/>
  <c r="R58" i="8"/>
  <c r="O58" i="8"/>
  <c r="O60" i="8"/>
  <c r="O57" i="8"/>
  <c r="S59" i="8"/>
  <c r="P55" i="8"/>
  <c r="R57" i="8"/>
  <c r="S58" i="8"/>
  <c r="P58" i="8"/>
  <c r="P60" i="8"/>
  <c r="P57" i="8"/>
  <c r="O49" i="8"/>
  <c r="R49" i="8" s="1"/>
  <c r="S49" i="8" s="1"/>
  <c r="I54" i="8" s="1"/>
  <c r="K54" i="8" s="1"/>
  <c r="P50" i="8"/>
  <c r="Q39" i="9"/>
  <c r="R39" i="9"/>
  <c r="P41" i="9"/>
  <c r="Q41" i="9"/>
  <c r="R23" i="9"/>
  <c r="S23" i="9" s="1"/>
  <c r="T23" i="9" s="1"/>
  <c r="J23" i="9" s="1"/>
  <c r="L23" i="9" s="1"/>
  <c r="K49" i="9"/>
  <c r="P42" i="9" s="1"/>
  <c r="R26" i="9"/>
  <c r="K47" i="9"/>
  <c r="R22" i="9"/>
  <c r="P22" i="9"/>
  <c r="P29" i="9"/>
  <c r="Q29" i="9"/>
  <c r="R29" i="9"/>
  <c r="H42" i="8"/>
  <c r="Q60" i="8"/>
  <c r="Q59" i="8"/>
  <c r="R60" i="8"/>
  <c r="R46" i="8"/>
  <c r="S46" i="8" s="1"/>
  <c r="I51" i="8" s="1"/>
  <c r="K51" i="8" s="1"/>
  <c r="L51" i="8" s="1"/>
  <c r="R26" i="8"/>
  <c r="S26" i="8" s="1"/>
  <c r="I26" i="8" s="1"/>
  <c r="K26" i="8" s="1"/>
  <c r="Q50" i="8"/>
  <c r="Q52" i="8"/>
  <c r="R52" i="8" s="1"/>
  <c r="S52" i="8" s="1"/>
  <c r="I57" i="8" s="1"/>
  <c r="K57" i="8" s="1"/>
  <c r="L57" i="8" s="1"/>
  <c r="O54" i="8"/>
  <c r="R25" i="8"/>
  <c r="S25" i="8" s="1"/>
  <c r="I25" i="8" s="1"/>
  <c r="K25" i="8" s="1"/>
  <c r="N37" i="8"/>
  <c r="O55" i="8"/>
  <c r="R28" i="8"/>
  <c r="S28" i="8" s="1"/>
  <c r="I28" i="8" s="1"/>
  <c r="K28" i="8" s="1"/>
  <c r="M28" i="8" s="1"/>
  <c r="R32" i="8"/>
  <c r="S32" i="8" s="1"/>
  <c r="I32" i="8" s="1"/>
  <c r="K32" i="8" s="1"/>
  <c r="R29" i="8"/>
  <c r="S29" i="8" s="1"/>
  <c r="I29" i="8" s="1"/>
  <c r="K29" i="8" s="1"/>
  <c r="R21" i="8"/>
  <c r="S21" i="8" s="1"/>
  <c r="I21" i="8" s="1"/>
  <c r="K21" i="8" s="1"/>
  <c r="P51" i="8"/>
  <c r="Q51" i="8"/>
  <c r="Q48" i="8"/>
  <c r="Q54" i="8"/>
  <c r="P48" i="8"/>
  <c r="Q20" i="9"/>
  <c r="K44" i="9"/>
  <c r="K31" i="8"/>
  <c r="P45" i="8"/>
  <c r="R41" i="9"/>
  <c r="P39" i="9"/>
  <c r="R20" i="9"/>
  <c r="P47" i="8"/>
  <c r="R47" i="8" s="1"/>
  <c r="S47" i="8" s="1"/>
  <c r="I52" i="8" s="1"/>
  <c r="K52" i="8" s="1"/>
  <c r="Q22" i="9"/>
  <c r="Q24" i="9"/>
  <c r="K50" i="9"/>
  <c r="O51" i="8"/>
  <c r="P56" i="8"/>
  <c r="O56" i="8"/>
  <c r="O53" i="8"/>
  <c r="M23" i="8" l="1"/>
  <c r="R53" i="8"/>
  <c r="S53" i="8" s="1"/>
  <c r="I58" i="8" s="1"/>
  <c r="K58" i="8" s="1"/>
  <c r="M58" i="8" s="1"/>
  <c r="P46" i="9"/>
  <c r="R55" i="8"/>
  <c r="S55" i="8" s="1"/>
  <c r="I60" i="8" s="1"/>
  <c r="K60" i="8" s="1"/>
  <c r="M60" i="8" s="1"/>
  <c r="R45" i="8"/>
  <c r="S45" i="8" s="1"/>
  <c r="I50" i="8" s="1"/>
  <c r="K50" i="8" s="1"/>
  <c r="M50" i="8" s="1"/>
  <c r="R50" i="8"/>
  <c r="S50" i="8" s="1"/>
  <c r="I55" i="8" s="1"/>
  <c r="K55" i="8" s="1"/>
  <c r="L55" i="8" s="1"/>
  <c r="W37" i="9"/>
  <c r="W38" i="9" s="1"/>
  <c r="W39" i="9" s="1"/>
  <c r="S29" i="9"/>
  <c r="T29" i="9" s="1"/>
  <c r="S21" i="9"/>
  <c r="T21" i="9" s="1"/>
  <c r="J21" i="9" s="1"/>
  <c r="L21" i="9" s="1"/>
  <c r="N21" i="9" s="1"/>
  <c r="S26" i="9"/>
  <c r="T26" i="9" s="1"/>
  <c r="J26" i="9" s="1"/>
  <c r="L26" i="9" s="1"/>
  <c r="M26" i="9" s="1"/>
  <c r="S28" i="9"/>
  <c r="T28" i="9" s="1"/>
  <c r="J28" i="9" s="1"/>
  <c r="L28" i="9" s="1"/>
  <c r="S27" i="9"/>
  <c r="T27" i="9" s="1"/>
  <c r="J27" i="9" s="1"/>
  <c r="L27" i="9" s="1"/>
  <c r="M27" i="9" s="1"/>
  <c r="N28" i="9"/>
  <c r="M28" i="9"/>
  <c r="Q42" i="9"/>
  <c r="R46" i="9"/>
  <c r="R42" i="9"/>
  <c r="S24" i="9"/>
  <c r="T24" i="9" s="1"/>
  <c r="J24" i="9" s="1"/>
  <c r="L24" i="9" s="1"/>
  <c r="M24" i="9" s="1"/>
  <c r="R44" i="9"/>
  <c r="P44" i="9"/>
  <c r="R38" i="9"/>
  <c r="S41" i="9"/>
  <c r="T41" i="9" s="1"/>
  <c r="J48" i="9" s="1"/>
  <c r="L48" i="9" s="1"/>
  <c r="N48" i="9" s="1"/>
  <c r="P38" i="9"/>
  <c r="Q45" i="9"/>
  <c r="P45" i="9"/>
  <c r="R45" i="9"/>
  <c r="S22" i="9"/>
  <c r="T22" i="9" s="1"/>
  <c r="J22" i="9" s="1"/>
  <c r="L22" i="9" s="1"/>
  <c r="N22" i="9" s="1"/>
  <c r="K59" i="9"/>
  <c r="M54" i="8"/>
  <c r="L54" i="8"/>
  <c r="R48" i="8"/>
  <c r="S48" i="8" s="1"/>
  <c r="I53" i="8" s="1"/>
  <c r="K53" i="8" s="1"/>
  <c r="L53" i="8" s="1"/>
  <c r="L58" i="8"/>
  <c r="S39" i="9"/>
  <c r="T39" i="9" s="1"/>
  <c r="J46" i="9" s="1"/>
  <c r="L46" i="9" s="1"/>
  <c r="N46" i="9" s="1"/>
  <c r="R40" i="9"/>
  <c r="Q40" i="9"/>
  <c r="P40" i="9"/>
  <c r="M21" i="9"/>
  <c r="S20" i="9"/>
  <c r="T20" i="9" s="1"/>
  <c r="J20" i="9" s="1"/>
  <c r="K42" i="8"/>
  <c r="M57" i="8"/>
  <c r="R54" i="8"/>
  <c r="S54" i="8" s="1"/>
  <c r="I59" i="8" s="1"/>
  <c r="K59" i="8" s="1"/>
  <c r="L59" i="8" s="1"/>
  <c r="M24" i="8"/>
  <c r="R51" i="8"/>
  <c r="S51" i="8" s="1"/>
  <c r="I56" i="8" s="1"/>
  <c r="K56" i="8" s="1"/>
  <c r="M56" i="8" s="1"/>
  <c r="L28" i="8"/>
  <c r="L60" i="8"/>
  <c r="L26" i="8"/>
  <c r="M26" i="8"/>
  <c r="L32" i="8"/>
  <c r="M32" i="8"/>
  <c r="L52" i="8"/>
  <c r="M52" i="8"/>
  <c r="M25" i="9"/>
  <c r="N25" i="9"/>
  <c r="R56" i="8"/>
  <c r="S56" i="8" s="1"/>
  <c r="I61" i="8" s="1"/>
  <c r="K61" i="8" s="1"/>
  <c r="N23" i="9"/>
  <c r="M23" i="9"/>
  <c r="L50" i="8"/>
  <c r="M31" i="8"/>
  <c r="L31" i="8"/>
  <c r="M21" i="8"/>
  <c r="L21" i="8"/>
  <c r="M27" i="8"/>
  <c r="L27" i="8"/>
  <c r="M51" i="8"/>
  <c r="Q43" i="9"/>
  <c r="P43" i="9"/>
  <c r="R43" i="9"/>
  <c r="L30" i="8"/>
  <c r="M30" i="8"/>
  <c r="L25" i="8"/>
  <c r="M25" i="8"/>
  <c r="Q37" i="9"/>
  <c r="P37" i="9"/>
  <c r="R37" i="9"/>
  <c r="M29" i="8"/>
  <c r="L29" i="8"/>
  <c r="M22" i="8"/>
  <c r="L22" i="8"/>
  <c r="S46" i="9" l="1"/>
  <c r="T46" i="9" s="1"/>
  <c r="M55" i="8"/>
  <c r="L56" i="8"/>
  <c r="N27" i="9"/>
  <c r="N26" i="9"/>
  <c r="S44" i="9"/>
  <c r="T44" i="9" s="1"/>
  <c r="J51" i="9" s="1"/>
  <c r="L51" i="9" s="1"/>
  <c r="N51" i="9" s="1"/>
  <c r="N24" i="9"/>
  <c r="S42" i="9"/>
  <c r="T42" i="9" s="1"/>
  <c r="J49" i="9" s="1"/>
  <c r="L49" i="9" s="1"/>
  <c r="M49" i="9" s="1"/>
  <c r="M48" i="9"/>
  <c r="S45" i="9"/>
  <c r="T45" i="9" s="1"/>
  <c r="J52" i="9" s="1"/>
  <c r="L52" i="9" s="1"/>
  <c r="J35" i="9"/>
  <c r="S38" i="9"/>
  <c r="T38" i="9" s="1"/>
  <c r="J45" i="9" s="1"/>
  <c r="L45" i="9" s="1"/>
  <c r="M45" i="9" s="1"/>
  <c r="M22" i="9"/>
  <c r="M46" i="9"/>
  <c r="K71" i="8"/>
  <c r="M53" i="8"/>
  <c r="S40" i="9"/>
  <c r="T40" i="9" s="1"/>
  <c r="J47" i="9" s="1"/>
  <c r="L47" i="9" s="1"/>
  <c r="L20" i="9"/>
  <c r="L35" i="9" s="1"/>
  <c r="S37" i="9"/>
  <c r="T37" i="9" s="1"/>
  <c r="J44" i="9" s="1"/>
  <c r="S43" i="9"/>
  <c r="T43" i="9" s="1"/>
  <c r="J50" i="9" s="1"/>
  <c r="L50" i="9" s="1"/>
  <c r="N50" i="9" s="1"/>
  <c r="M42" i="8"/>
  <c r="M44" i="8" s="1"/>
  <c r="L42" i="8"/>
  <c r="M59" i="8"/>
  <c r="M61" i="8"/>
  <c r="L61" i="8"/>
  <c r="L71" i="8" l="1"/>
  <c r="M71" i="8"/>
  <c r="L81" i="8" s="1"/>
  <c r="L82" i="8" s="1"/>
  <c r="N52" i="9"/>
  <c r="M52" i="9"/>
  <c r="M51" i="9"/>
  <c r="N49" i="9"/>
  <c r="N45" i="9"/>
  <c r="X36" i="9"/>
  <c r="M20" i="9"/>
  <c r="M35" i="9" s="1"/>
  <c r="M50" i="9"/>
  <c r="N20" i="9"/>
  <c r="N35" i="9" s="1"/>
  <c r="L44" i="9"/>
  <c r="L59" i="9" s="1"/>
  <c r="J59" i="9"/>
  <c r="M63" i="9" s="1"/>
  <c r="N47" i="9"/>
  <c r="M47" i="9"/>
  <c r="N44" i="9" l="1"/>
  <c r="N59" i="9" s="1"/>
  <c r="M61" i="9" s="1"/>
  <c r="M44" i="9"/>
  <c r="M59" i="9" s="1"/>
  <c r="X37" i="9"/>
  <c r="X38" i="9" s="1"/>
  <c r="E34" i="25"/>
  <c r="F34" i="25"/>
  <c r="L83" i="8"/>
  <c r="G34" i="25" s="1"/>
</calcChain>
</file>

<file path=xl/sharedStrings.xml><?xml version="1.0" encoding="utf-8"?>
<sst xmlns="http://schemas.openxmlformats.org/spreadsheetml/2006/main" count="384" uniqueCount="180">
  <si>
    <t>MARINE SURVEYORS &amp; CONSULTANTS</t>
  </si>
  <si>
    <t>Av. Almirante Cochrane, 203 sl 81 - Santos /BR</t>
  </si>
  <si>
    <t>surveyors@naabsa.com | Naabsa.com | TEL: 55 13 3394-0655</t>
  </si>
  <si>
    <t>VESSEL´S SOUNDING/ULLAGE REPORT</t>
  </si>
  <si>
    <t xml:space="preserve">Name of Vessel:           </t>
  </si>
  <si>
    <t>Densa Pelican</t>
  </si>
  <si>
    <t>Grade of Fuel Ordered:</t>
  </si>
  <si>
    <t>VLSFO</t>
  </si>
  <si>
    <t>Location of Survey:</t>
  </si>
  <si>
    <t>Santos Port - LOCAL</t>
  </si>
  <si>
    <t xml:space="preserve">Name of Barges : </t>
  </si>
  <si>
    <t>XXXXXXXXXXXX</t>
  </si>
  <si>
    <t>Date of  Survey:</t>
  </si>
  <si>
    <r>
      <t>January 00</t>
    </r>
    <r>
      <rPr>
        <vertAlign val="superscript"/>
        <sz val="10"/>
        <rFont val="Calibri"/>
        <family val="2"/>
      </rPr>
      <t>th</t>
    </r>
    <r>
      <rPr>
        <sz val="10"/>
        <rFont val="Calibri"/>
        <family val="2"/>
      </rPr>
      <t>, 2023</t>
    </r>
  </si>
  <si>
    <t xml:space="preserve">Time: </t>
  </si>
  <si>
    <t>00:00 x 00:00 h/LT</t>
  </si>
  <si>
    <t>BEFORE BUNKERING</t>
  </si>
  <si>
    <t>Draft Fore:</t>
  </si>
  <si>
    <t>m</t>
  </si>
  <si>
    <t>Draft Aft:</t>
  </si>
  <si>
    <t>List:</t>
  </si>
  <si>
    <t>Trim Correction Applied:</t>
  </si>
  <si>
    <t>Yes</t>
  </si>
  <si>
    <t>METRIC TONS</t>
  </si>
  <si>
    <t>Tank nº</t>
  </si>
  <si>
    <t>Grade</t>
  </si>
  <si>
    <t>Sounding/ Ullage (m)</t>
  </si>
  <si>
    <t>Deg            °C</t>
  </si>
  <si>
    <r>
      <t>Total Vol Observed (m</t>
    </r>
    <r>
      <rPr>
        <b/>
        <vertAlign val="superscript"/>
        <sz val="8"/>
        <rFont val="Calibri"/>
        <family val="2"/>
      </rPr>
      <t>3</t>
    </r>
    <r>
      <rPr>
        <b/>
        <sz val="8"/>
        <rFont val="Calibri"/>
        <family val="2"/>
      </rPr>
      <t>)</t>
    </r>
  </si>
  <si>
    <t>Free Water</t>
  </si>
  <si>
    <t>Gross Obs Vol (m3)</t>
  </si>
  <si>
    <t>VCF TAB 54B</t>
  </si>
  <si>
    <r>
      <t>Density (S.G.) at 15</t>
    </r>
    <r>
      <rPr>
        <b/>
        <sz val="8"/>
        <rFont val="Calibri"/>
        <family val="2"/>
      </rPr>
      <t>° C</t>
    </r>
  </si>
  <si>
    <r>
      <t>Gross Std Vol @15</t>
    </r>
    <r>
      <rPr>
        <b/>
        <sz val="9"/>
        <rFont val="Calibri"/>
        <family val="2"/>
      </rPr>
      <t>° C</t>
    </r>
  </si>
  <si>
    <t>IN VAC</t>
  </si>
  <si>
    <t>IN AIR</t>
  </si>
  <si>
    <t>Dip</t>
  </si>
  <si>
    <t>Vol</t>
  </si>
  <si>
    <t>HFO 1P</t>
  </si>
  <si>
    <t>Nil</t>
  </si>
  <si>
    <t>HFO 1S</t>
  </si>
  <si>
    <t>HFO 2P</t>
  </si>
  <si>
    <t>HFO 2S</t>
  </si>
  <si>
    <t>HFO 3P</t>
  </si>
  <si>
    <t>HFO 3S</t>
  </si>
  <si>
    <t>HFO SERV 1</t>
  </si>
  <si>
    <t>GAUGE</t>
  </si>
  <si>
    <t>HFO SETT 1</t>
  </si>
  <si>
    <t>OVERFLOW</t>
  </si>
  <si>
    <t>XXXXX</t>
  </si>
  <si>
    <t>TOTAL</t>
  </si>
  <si>
    <t>LOG BOOK</t>
  </si>
  <si>
    <t>Dif</t>
  </si>
  <si>
    <t>AFTER BUNKERING</t>
  </si>
  <si>
    <t>Deg                  C</t>
  </si>
  <si>
    <r>
      <t>Total Vol Observed (m</t>
    </r>
    <r>
      <rPr>
        <b/>
        <vertAlign val="superscript"/>
        <sz val="10"/>
        <rFont val="Calibri"/>
        <family val="2"/>
      </rPr>
      <t>3</t>
    </r>
    <r>
      <rPr>
        <b/>
        <sz val="10"/>
        <rFont val="Calibri"/>
        <family val="2"/>
      </rPr>
      <t>)</t>
    </r>
  </si>
  <si>
    <r>
      <t>Gross Std Vol @15</t>
    </r>
    <r>
      <rPr>
        <b/>
        <sz val="10"/>
        <rFont val="Calibri"/>
        <family val="2"/>
      </rPr>
      <t>° C</t>
    </r>
  </si>
  <si>
    <t>Total</t>
  </si>
  <si>
    <t>REMARKS:</t>
  </si>
  <si>
    <t>Thermometer                 :</t>
  </si>
  <si>
    <t>Display (ECR) - Storage tanks / Thermometer on tank - Serv1,2 and Sett 1,2</t>
  </si>
  <si>
    <t>TOTAL QUANTITY TRANSFERRED</t>
  </si>
  <si>
    <t>Condition of line          :</t>
  </si>
  <si>
    <t>Empty before and after bunkering</t>
  </si>
  <si>
    <t>BDN</t>
  </si>
  <si>
    <t>MT</t>
  </si>
  <si>
    <t>Remarks                         :</t>
  </si>
  <si>
    <t>SURVEYOR</t>
  </si>
  <si>
    <t>Water Detection:</t>
  </si>
  <si>
    <t>N/A</t>
  </si>
  <si>
    <t xml:space="preserve">DIF </t>
  </si>
  <si>
    <t>%</t>
  </si>
  <si>
    <t>CHIEF ENGINEER:</t>
  </si>
  <si>
    <t xml:space="preserve"> Enjaynes, Leo Mark Abellare</t>
  </si>
  <si>
    <t>SURVEYOR:</t>
  </si>
  <si>
    <t>Abreu, Wagner de</t>
  </si>
  <si>
    <t>BARGE´S SOUNDING/ULLAGE REPORT</t>
  </si>
  <si>
    <t>BEFORE TRANSFER</t>
  </si>
  <si>
    <t>FLOWMETER</t>
  </si>
  <si>
    <r>
      <t>m</t>
    </r>
    <r>
      <rPr>
        <vertAlign val="superscript"/>
        <sz val="10"/>
        <rFont val="Calibri"/>
        <family val="2"/>
      </rPr>
      <t>3</t>
    </r>
  </si>
  <si>
    <t>YES</t>
  </si>
  <si>
    <t>Sounding / Ullage (m)</t>
  </si>
  <si>
    <r>
      <t>Total Vol Observed (m</t>
    </r>
    <r>
      <rPr>
        <vertAlign val="superscript"/>
        <sz val="10"/>
        <rFont val="Calibri"/>
        <family val="2"/>
      </rPr>
      <t>3</t>
    </r>
    <r>
      <rPr>
        <sz val="10"/>
        <rFont val="Calibri"/>
        <family val="2"/>
      </rPr>
      <t>)</t>
    </r>
  </si>
  <si>
    <r>
      <t>Density (S.G.) at 15</t>
    </r>
    <r>
      <rPr>
        <sz val="10"/>
        <rFont val="Calibri"/>
        <family val="2"/>
      </rPr>
      <t>° C</t>
    </r>
  </si>
  <si>
    <r>
      <t>Gross Std Vol @15</t>
    </r>
    <r>
      <rPr>
        <sz val="10"/>
        <rFont val="Calibri"/>
        <family val="2"/>
      </rPr>
      <t>° C</t>
    </r>
  </si>
  <si>
    <t>1 BB</t>
  </si>
  <si>
    <t>1 BE</t>
  </si>
  <si>
    <t>2 BB</t>
  </si>
  <si>
    <t>2 BE</t>
  </si>
  <si>
    <t>3 BB</t>
  </si>
  <si>
    <t>3 BE</t>
  </si>
  <si>
    <t>4 BB</t>
  </si>
  <si>
    <t>4 BE</t>
  </si>
  <si>
    <t>AFTER RECEIVING</t>
  </si>
  <si>
    <t>Density @ 15 Deg C as per BDN - Bunker Deliver Notice</t>
  </si>
  <si>
    <t>Density @ 20 Deg C as per BDN - Bunker Deliver Notice</t>
  </si>
  <si>
    <t>TOTAL QTY TRANSFERRED - ULLAGE/SOUNDING</t>
  </si>
  <si>
    <t>TOTAL QTY TRANSFERRED - FLOWMETER</t>
  </si>
  <si>
    <t xml:space="preserve">MT </t>
  </si>
  <si>
    <t>Flowmeter type:</t>
  </si>
  <si>
    <t>DIGITAL</t>
  </si>
  <si>
    <t>Calibration Date:</t>
  </si>
  <si>
    <t>Seal:</t>
  </si>
  <si>
    <t>Thermometer Type:</t>
  </si>
  <si>
    <t>GLASS / MERCURY</t>
  </si>
  <si>
    <t>TIME LOG</t>
  </si>
  <si>
    <t>Operation</t>
  </si>
  <si>
    <t>Date</t>
  </si>
  <si>
    <t>Times</t>
  </si>
  <si>
    <t>POB for berthing</t>
  </si>
  <si>
    <t>Gangway down</t>
  </si>
  <si>
    <t>Awaiting barge</t>
  </si>
  <si>
    <t>Bunker Barge arrived</t>
  </si>
  <si>
    <t>Surveyor onboard</t>
  </si>
  <si>
    <t xml:space="preserve">Meeting between C/E and surveyor </t>
  </si>
  <si>
    <t>Initial Soundings/Ullage - Vessel</t>
  </si>
  <si>
    <t>All fast / Barge ready</t>
  </si>
  <si>
    <t>Initial Soundings/Ullage - Barge</t>
  </si>
  <si>
    <t>Hose Connected</t>
  </si>
  <si>
    <t>Bunkering operation</t>
  </si>
  <si>
    <t>Final Soundings/Ullage - Barge</t>
  </si>
  <si>
    <t>Final Soundings/Ullage - Vessel</t>
  </si>
  <si>
    <t>Calculation</t>
  </si>
  <si>
    <t>Documents signed</t>
  </si>
  <si>
    <t>Hose disconnected</t>
  </si>
  <si>
    <t>Surveyor off board</t>
  </si>
  <si>
    <t>Stoppages/Delays</t>
  </si>
  <si>
    <t>NO DELAYS</t>
  </si>
  <si>
    <t>Remark:</t>
  </si>
  <si>
    <t>SAMPLE REPORT</t>
  </si>
  <si>
    <t>SAMPLES  WERE TAKEN DURING BUNKERING</t>
  </si>
  <si>
    <t>Name of barge</t>
  </si>
  <si>
    <t>Tank number</t>
  </si>
  <si>
    <t>1BB, 1BE, 2BB, 2BE, 4BB and 4BE</t>
  </si>
  <si>
    <t>Sampling Method</t>
  </si>
  <si>
    <t>DRIPPING</t>
  </si>
  <si>
    <t>Sampling Point</t>
  </si>
  <si>
    <t>SHIP MANIFOLD</t>
  </si>
  <si>
    <t>BARGE MANIFOLD</t>
  </si>
  <si>
    <t>Quantity of Sample</t>
  </si>
  <si>
    <t>6 x 0,5 L</t>
  </si>
  <si>
    <t>4 x 0,5 L</t>
  </si>
  <si>
    <t>SAMPLES</t>
  </si>
  <si>
    <t>VESSEL</t>
  </si>
  <si>
    <t>BARGE</t>
  </si>
  <si>
    <t>Retained by Chife Engineer</t>
  </si>
  <si>
    <t>2279520</t>
  </si>
  <si>
    <t>0007216</t>
  </si>
  <si>
    <t>Retained by Supplier`s Representative</t>
  </si>
  <si>
    <t>2279521</t>
  </si>
  <si>
    <t>0007217</t>
  </si>
  <si>
    <t>Laboratory</t>
  </si>
  <si>
    <t>2279519</t>
  </si>
  <si>
    <t>2708875</t>
  </si>
  <si>
    <t>Marpol Sample</t>
  </si>
  <si>
    <t>2279522</t>
  </si>
  <si>
    <t>0007218</t>
  </si>
  <si>
    <t>Surveyor Samples</t>
  </si>
  <si>
    <t>NA</t>
  </si>
  <si>
    <t>Remarks(IF ANY)</t>
  </si>
  <si>
    <t xml:space="preserve"> </t>
  </si>
  <si>
    <t>To: Supplier or representative</t>
  </si>
  <si>
    <t>C/c: CHIEF ENGINEER</t>
  </si>
  <si>
    <t>LETTER OF PROTEST</t>
  </si>
  <si>
    <t>Vessel    :</t>
  </si>
  <si>
    <t>Date      :</t>
  </si>
  <si>
    <t>Location :</t>
  </si>
  <si>
    <t>Product  :</t>
  </si>
  <si>
    <t>We have been appointed as Marine Surveyors to act on behalf of our Principals and the following</t>
  </si>
  <si>
    <t>figures is brought to your attention to the differences bellow:</t>
  </si>
  <si>
    <t>difference</t>
  </si>
  <si>
    <t>NAABSA</t>
  </si>
  <si>
    <t>We hereby reserve the right of our Principals to make reference to the above at a later date.</t>
  </si>
  <si>
    <t>Signed for receipt:</t>
  </si>
  <si>
    <t>VESSEL/BARGE REPRESENTATIVE :</t>
  </si>
  <si>
    <t>STAMPED AND SIGNED</t>
  </si>
  <si>
    <t>Density at 15C</t>
  </si>
  <si>
    <t>FCW Vacuo-Ar</t>
  </si>
  <si>
    <t>||||||||||||||||||||||||||||||\\\\\\\\\\\\\\\\\\\\\\\\\\\\\\\\\\\\\\\\\\\\\\\\\\\\\\\\\\\\\\\\\\\\\\\\\\\\\\\\\\\\\\\|\\\\\\ZZZZZZZZZZZZZZZZZZZZZZZZZZZZZZZZZZZZZZZZZZZZZZZZZZZZZZZZZZZZZZZZZZZZZZZZZZZZ666666</t>
  </si>
  <si>
    <t>5BE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</si>
</sst>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#,##0.000"/>
    <numFmt numFmtId="166" formatCode="#,##0.0000"/>
    <numFmt numFmtId="167" formatCode="0.0"/>
    <numFmt numFmtId="168" formatCode="0.0000"/>
    <numFmt numFmtId="169" formatCode="0.000"/>
    <numFmt numFmtId="170" formatCode="_(* #,##0.000_);_(* \(#,##0.000\);_(* &quot;-&quot;??_);_(@_)"/>
    <numFmt numFmtId="171" formatCode="_(* #,##0.0000_);_(* \(#,##0.0000\);_(* \-??_);_(@_)"/>
    <numFmt numFmtId="172" formatCode="dd/mm/yy;@"/>
    <numFmt numFmtId="173" formatCode="0.000_ ;[Red]\-0.000\ "/>
    <numFmt numFmtId="174" formatCode="h:mm;@"/>
    <numFmt numFmtId="175" formatCode="#,##0.000_ ;[Red]\-#,##0.000\ "/>
  </numFmts>
  <fonts count="38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10"/>
      <name val="MS Sans Serif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vertAlign val="superscript"/>
      <sz val="10"/>
      <name val="Calibri"/>
      <family val="2"/>
    </font>
    <font>
      <b/>
      <u/>
      <sz val="12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2060"/>
      <name val="GeoSlab703 Md BT"/>
      <family val="1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5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10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7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name val="Calibri"/>
      <family val="2"/>
      <scheme val="minor"/>
    </font>
    <font>
      <b/>
      <vertAlign val="superscript"/>
      <sz val="8"/>
      <name val="Calibri"/>
      <family val="2"/>
    </font>
    <font>
      <b/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</borders>
  <cellStyleXfs count="8">
    <xf numFmtId="0" fontId="0" fillId="0" borderId="0"/>
    <xf numFmtId="0" fontId="16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5" fillId="0" borderId="0"/>
    <xf numFmtId="40" fontId="8" fillId="0" borderId="0" applyFill="0" applyBorder="0" applyAlignment="0" applyProtection="0"/>
    <xf numFmtId="164" fontId="1" fillId="0" borderId="0" applyFont="0" applyFill="0" applyBorder="0" applyAlignment="0" applyProtection="0"/>
  </cellStyleXfs>
  <cellXfs count="4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6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8" fillId="0" borderId="0" xfId="0" applyFont="1" applyProtection="1">
      <protection hidden="1"/>
    </xf>
    <xf numFmtId="0" fontId="19" fillId="0" borderId="0" xfId="0" applyFont="1" applyProtection="1">
      <protection hidden="1"/>
    </xf>
    <xf numFmtId="0" fontId="19" fillId="0" borderId="2" xfId="0" applyFont="1" applyBorder="1" applyProtection="1">
      <protection hidden="1"/>
    </xf>
    <xf numFmtId="0" fontId="18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center"/>
      <protection hidden="1"/>
    </xf>
    <xf numFmtId="0" fontId="25" fillId="0" borderId="0" xfId="0" applyFont="1" applyProtection="1">
      <protection hidden="1"/>
    </xf>
    <xf numFmtId="167" fontId="19" fillId="0" borderId="0" xfId="0" applyNumberFormat="1" applyFont="1" applyProtection="1">
      <protection hidden="1"/>
    </xf>
    <xf numFmtId="168" fontId="19" fillId="0" borderId="0" xfId="0" applyNumberFormat="1" applyFont="1" applyProtection="1">
      <protection hidden="1"/>
    </xf>
    <xf numFmtId="2" fontId="25" fillId="0" borderId="0" xfId="0" applyNumberFormat="1" applyFont="1" applyProtection="1">
      <protection hidden="1"/>
    </xf>
    <xf numFmtId="169" fontId="19" fillId="0" borderId="0" xfId="0" applyNumberFormat="1" applyFont="1" applyProtection="1">
      <protection hidden="1"/>
    </xf>
    <xf numFmtId="0" fontId="19" fillId="0" borderId="0" xfId="0" applyFont="1" applyAlignment="1" applyProtection="1">
      <alignment horizontal="center"/>
      <protection hidden="1"/>
    </xf>
    <xf numFmtId="167" fontId="19" fillId="2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horizontal="left"/>
      <protection locked="0"/>
    </xf>
    <xf numFmtId="0" fontId="19" fillId="0" borderId="0" xfId="0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left"/>
      <protection hidden="1"/>
    </xf>
    <xf numFmtId="0" fontId="20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0" fontId="26" fillId="0" borderId="0" xfId="0" applyFont="1" applyProtection="1">
      <protection hidden="1"/>
    </xf>
    <xf numFmtId="0" fontId="31" fillId="0" borderId="0" xfId="0" applyFont="1" applyProtection="1">
      <protection hidden="1"/>
    </xf>
    <xf numFmtId="169" fontId="31" fillId="0" borderId="0" xfId="0" applyNumberFormat="1" applyFont="1" applyProtection="1">
      <protection hidden="1"/>
    </xf>
    <xf numFmtId="166" fontId="19" fillId="0" borderId="0" xfId="0" applyNumberFormat="1" applyFont="1" applyProtection="1">
      <protection hidden="1"/>
    </xf>
    <xf numFmtId="49" fontId="19" fillId="0" borderId="0" xfId="0" applyNumberFormat="1" applyFont="1" applyProtection="1">
      <protection hidden="1"/>
    </xf>
    <xf numFmtId="164" fontId="19" fillId="0" borderId="0" xfId="7" applyFont="1" applyFill="1" applyProtection="1">
      <protection hidden="1"/>
    </xf>
    <xf numFmtId="0" fontId="21" fillId="0" borderId="0" xfId="5" applyFont="1"/>
    <xf numFmtId="0" fontId="28" fillId="0" borderId="0" xfId="5" applyFont="1"/>
    <xf numFmtId="0" fontId="22" fillId="0" borderId="0" xfId="5" applyFont="1"/>
    <xf numFmtId="0" fontId="22" fillId="0" borderId="0" xfId="1" applyFont="1" applyFill="1" applyAlignment="1">
      <alignment vertical="center"/>
    </xf>
    <xf numFmtId="0" fontId="20" fillId="0" borderId="0" xfId="0" applyFont="1" applyAlignment="1" applyProtection="1">
      <alignment horizontal="center"/>
      <protection locked="0"/>
    </xf>
    <xf numFmtId="0" fontId="18" fillId="0" borderId="10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0" borderId="0" xfId="0" applyFont="1" applyAlignment="1">
      <alignment horizontal="left" vertical="center"/>
    </xf>
    <xf numFmtId="172" fontId="19" fillId="0" borderId="0" xfId="0" applyNumberFormat="1" applyFont="1" applyAlignment="1" applyProtection="1">
      <alignment horizontal="center"/>
      <protection locked="0"/>
    </xf>
    <xf numFmtId="20" fontId="19" fillId="0" borderId="0" xfId="0" applyNumberFormat="1" applyFont="1" applyAlignment="1" applyProtection="1">
      <alignment horizontal="center"/>
      <protection locked="0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31" fillId="0" borderId="0" xfId="0" applyFont="1" applyProtection="1">
      <protection locked="0"/>
    </xf>
    <xf numFmtId="14" fontId="19" fillId="0" borderId="0" xfId="0" applyNumberFormat="1" applyFont="1" applyProtection="1">
      <protection locked="0"/>
    </xf>
    <xf numFmtId="0" fontId="19" fillId="0" borderId="9" xfId="0" applyFont="1" applyBorder="1" applyAlignment="1">
      <alignment horizontal="left" vertical="center" wrapText="1"/>
    </xf>
    <xf numFmtId="20" fontId="19" fillId="0" borderId="0" xfId="0" applyNumberFormat="1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19" fillId="0" borderId="1" xfId="0" applyFont="1" applyBorder="1" applyAlignment="1" applyProtection="1">
      <alignment horizontal="center"/>
      <protection locked="0"/>
    </xf>
    <xf numFmtId="0" fontId="19" fillId="0" borderId="1" xfId="0" applyFont="1" applyBorder="1" applyProtection="1">
      <protection locked="0"/>
    </xf>
    <xf numFmtId="0" fontId="30" fillId="0" borderId="0" xfId="0" applyFont="1" applyProtection="1">
      <protection hidden="1"/>
    </xf>
    <xf numFmtId="0" fontId="24" fillId="0" borderId="0" xfId="0" applyFont="1" applyAlignment="1" applyProtection="1">
      <alignment horizontal="left"/>
      <protection hidden="1"/>
    </xf>
    <xf numFmtId="0" fontId="24" fillId="0" borderId="0" xfId="0" applyFont="1" applyAlignment="1" applyProtection="1">
      <alignment horizontal="center"/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19" fillId="0" borderId="1" xfId="0" applyFont="1" applyBorder="1" applyProtection="1">
      <protection hidden="1"/>
    </xf>
    <xf numFmtId="0" fontId="3" fillId="0" borderId="0" xfId="0" applyFont="1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20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3" fillId="0" borderId="0" xfId="0" applyFont="1" applyProtection="1">
      <protection hidden="1"/>
    </xf>
    <xf numFmtId="0" fontId="5" fillId="0" borderId="9" xfId="0" applyFont="1" applyBorder="1" applyProtection="1">
      <protection hidden="1"/>
    </xf>
    <xf numFmtId="0" fontId="5" fillId="0" borderId="9" xfId="0" applyFont="1" applyBorder="1" applyAlignment="1" applyProtection="1">
      <alignment horizontal="left"/>
      <protection hidden="1"/>
    </xf>
    <xf numFmtId="14" fontId="5" fillId="0" borderId="9" xfId="0" applyNumberFormat="1" applyFont="1" applyBorder="1" applyAlignment="1" applyProtection="1">
      <alignment horizontal="left"/>
      <protection hidden="1"/>
    </xf>
    <xf numFmtId="0" fontId="5" fillId="0" borderId="9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169" fontId="5" fillId="0" borderId="0" xfId="0" applyNumberFormat="1" applyFont="1" applyAlignment="1" applyProtection="1">
      <alignment horizontal="left"/>
      <protection hidden="1"/>
    </xf>
    <xf numFmtId="169" fontId="5" fillId="0" borderId="3" xfId="0" applyNumberFormat="1" applyFont="1" applyBorder="1" applyAlignment="1" applyProtection="1">
      <alignment horizontal="left"/>
      <protection hidden="1"/>
    </xf>
    <xf numFmtId="169" fontId="5" fillId="0" borderId="4" xfId="0" applyNumberFormat="1" applyFont="1" applyBorder="1" applyAlignment="1" applyProtection="1">
      <alignment horizontal="left"/>
      <protection hidden="1"/>
    </xf>
    <xf numFmtId="169" fontId="5" fillId="0" borderId="3" xfId="0" applyNumberFormat="1" applyFont="1" applyBorder="1" applyAlignment="1" applyProtection="1">
      <alignment horizontal="centerContinuous"/>
      <protection hidden="1"/>
    </xf>
    <xf numFmtId="169" fontId="5" fillId="0" borderId="4" xfId="0" applyNumberFormat="1" applyFont="1" applyBorder="1" applyAlignment="1" applyProtection="1">
      <alignment horizontal="centerContinuous"/>
      <protection hidden="1"/>
    </xf>
    <xf numFmtId="0" fontId="5" fillId="0" borderId="0" xfId="0" applyFont="1" applyAlignment="1" applyProtection="1">
      <alignment horizontal="left"/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5" fillId="0" borderId="6" xfId="0" applyFont="1" applyBorder="1" applyAlignment="1" applyProtection="1">
      <alignment horizontal="center"/>
      <protection hidden="1"/>
    </xf>
    <xf numFmtId="169" fontId="5" fillId="0" borderId="20" xfId="0" applyNumberFormat="1" applyFont="1" applyBorder="1" applyAlignment="1" applyProtection="1">
      <alignment horizontal="center"/>
      <protection hidden="1"/>
    </xf>
    <xf numFmtId="169" fontId="5" fillId="0" borderId="16" xfId="0" applyNumberFormat="1" applyFont="1" applyBorder="1" applyAlignment="1" applyProtection="1">
      <alignment horizontal="center"/>
      <protection hidden="1"/>
    </xf>
    <xf numFmtId="0" fontId="6" fillId="0" borderId="1" xfId="0" applyFont="1" applyBorder="1" applyAlignment="1" applyProtection="1">
      <alignment horizontal="left"/>
      <protection hidden="1"/>
    </xf>
    <xf numFmtId="0" fontId="6" fillId="0" borderId="0" xfId="0" applyFont="1" applyAlignment="1" applyProtection="1">
      <alignment horizontal="left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2" fillId="0" borderId="2" xfId="0" applyFont="1" applyBorder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19" fillId="3" borderId="0" xfId="0" applyFont="1" applyFill="1" applyProtection="1">
      <protection locked="0"/>
    </xf>
    <xf numFmtId="172" fontId="19" fillId="3" borderId="10" xfId="0" applyNumberFormat="1" applyFont="1" applyFill="1" applyBorder="1" applyAlignment="1" applyProtection="1">
      <alignment horizontal="center"/>
      <protection locked="0"/>
    </xf>
    <xf numFmtId="174" fontId="19" fillId="3" borderId="10" xfId="0" applyNumberFormat="1" applyFont="1" applyFill="1" applyBorder="1" applyAlignment="1" applyProtection="1">
      <alignment horizontal="center"/>
      <protection locked="0"/>
    </xf>
    <xf numFmtId="0" fontId="20" fillId="2" borderId="0" xfId="0" applyFont="1" applyFill="1" applyAlignment="1" applyProtection="1">
      <alignment horizontal="center"/>
      <protection hidden="1"/>
    </xf>
    <xf numFmtId="0" fontId="19" fillId="2" borderId="0" xfId="0" applyFont="1" applyFill="1" applyProtection="1">
      <protection hidden="1"/>
    </xf>
    <xf numFmtId="0" fontId="23" fillId="2" borderId="0" xfId="0" applyFont="1" applyFill="1" applyProtection="1">
      <protection hidden="1"/>
    </xf>
    <xf numFmtId="0" fontId="19" fillId="2" borderId="0" xfId="0" applyFont="1" applyFill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vertical="center"/>
      <protection hidden="1"/>
    </xf>
    <xf numFmtId="0" fontId="19" fillId="2" borderId="30" xfId="0" applyFont="1" applyFill="1" applyBorder="1" applyAlignment="1" applyProtection="1">
      <alignment horizontal="center"/>
      <protection hidden="1"/>
    </xf>
    <xf numFmtId="0" fontId="18" fillId="2" borderId="3" xfId="0" applyFont="1" applyFill="1" applyBorder="1" applyProtection="1">
      <protection hidden="1"/>
    </xf>
    <xf numFmtId="0" fontId="18" fillId="2" borderId="7" xfId="0" applyFont="1" applyFill="1" applyBorder="1" applyProtection="1">
      <protection hidden="1"/>
    </xf>
    <xf numFmtId="0" fontId="18" fillId="2" borderId="0" xfId="0" applyFont="1" applyFill="1" applyAlignment="1" applyProtection="1">
      <alignment horizontal="left"/>
      <protection hidden="1"/>
    </xf>
    <xf numFmtId="0" fontId="18" fillId="2" borderId="0" xfId="0" applyFont="1" applyFill="1" applyProtection="1">
      <protection hidden="1"/>
    </xf>
    <xf numFmtId="169" fontId="19" fillId="2" borderId="9" xfId="0" applyNumberFormat="1" applyFont="1" applyFill="1" applyBorder="1" applyAlignment="1" applyProtection="1">
      <alignment horizontal="center"/>
      <protection hidden="1"/>
    </xf>
    <xf numFmtId="169" fontId="19" fillId="2" borderId="6" xfId="0" applyNumberFormat="1" applyFont="1" applyFill="1" applyBorder="1" applyProtection="1">
      <protection hidden="1"/>
    </xf>
    <xf numFmtId="0" fontId="19" fillId="2" borderId="14" xfId="0" applyFont="1" applyFill="1" applyBorder="1" applyAlignment="1" applyProtection="1">
      <alignment horizontal="center"/>
      <protection hidden="1"/>
    </xf>
    <xf numFmtId="0" fontId="24" fillId="2" borderId="21" xfId="0" applyFont="1" applyFill="1" applyBorder="1" applyAlignment="1" applyProtection="1">
      <alignment horizontal="center" vertical="center"/>
      <protection hidden="1"/>
    </xf>
    <xf numFmtId="0" fontId="19" fillId="2" borderId="0" xfId="0" applyFont="1" applyFill="1" applyAlignment="1" applyProtection="1">
      <alignment horizontal="center"/>
      <protection hidden="1"/>
    </xf>
    <xf numFmtId="169" fontId="19" fillId="2" borderId="0" xfId="0" applyNumberFormat="1" applyFont="1" applyFill="1" applyAlignment="1" applyProtection="1">
      <alignment horizontal="center"/>
      <protection hidden="1"/>
    </xf>
    <xf numFmtId="0" fontId="24" fillId="2" borderId="13" xfId="0" applyFont="1" applyFill="1" applyBorder="1" applyProtection="1">
      <protection hidden="1"/>
    </xf>
    <xf numFmtId="0" fontId="19" fillId="2" borderId="9" xfId="0" applyFont="1" applyFill="1" applyBorder="1" applyProtection="1">
      <protection hidden="1"/>
    </xf>
    <xf numFmtId="169" fontId="19" fillId="2" borderId="9" xfId="0" applyNumberFormat="1" applyFont="1" applyFill="1" applyBorder="1" applyProtection="1">
      <protection hidden="1"/>
    </xf>
    <xf numFmtId="0" fontId="19" fillId="2" borderId="13" xfId="0" applyFont="1" applyFill="1" applyBorder="1" applyProtection="1">
      <protection hidden="1"/>
    </xf>
    <xf numFmtId="0" fontId="19" fillId="2" borderId="0" xfId="0" applyFont="1" applyFill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18" fillId="2" borderId="0" xfId="0" applyFont="1" applyFill="1" applyAlignment="1" applyProtection="1">
      <alignment horizontal="right"/>
      <protection hidden="1"/>
    </xf>
    <xf numFmtId="0" fontId="18" fillId="2" borderId="21" xfId="0" applyFont="1" applyFill="1" applyBorder="1" applyProtection="1">
      <protection hidden="1"/>
    </xf>
    <xf numFmtId="0" fontId="18" fillId="2" borderId="12" xfId="0" applyFont="1" applyFill="1" applyBorder="1" applyProtection="1">
      <protection hidden="1"/>
    </xf>
    <xf numFmtId="0" fontId="18" fillId="2" borderId="14" xfId="0" applyFont="1" applyFill="1" applyBorder="1" applyProtection="1">
      <protection hidden="1"/>
    </xf>
    <xf numFmtId="0" fontId="18" fillId="2" borderId="30" xfId="0" applyFont="1" applyFill="1" applyBorder="1" applyProtection="1">
      <protection hidden="1"/>
    </xf>
    <xf numFmtId="0" fontId="18" fillId="2" borderId="30" xfId="0" applyFont="1" applyFill="1" applyBorder="1" applyAlignment="1" applyProtection="1">
      <alignment horizontal="center"/>
      <protection hidden="1"/>
    </xf>
    <xf numFmtId="0" fontId="18" fillId="2" borderId="11" xfId="0" applyFont="1" applyFill="1" applyBorder="1" applyAlignment="1" applyProtection="1">
      <alignment horizontal="left"/>
      <protection hidden="1"/>
    </xf>
    <xf numFmtId="0" fontId="18" fillId="2" borderId="11" xfId="0" applyFont="1" applyFill="1" applyBorder="1" applyProtection="1">
      <protection hidden="1"/>
    </xf>
    <xf numFmtId="167" fontId="19" fillId="2" borderId="0" xfId="0" applyNumberFormat="1" applyFont="1" applyFill="1" applyProtection="1">
      <protection hidden="1"/>
    </xf>
    <xf numFmtId="168" fontId="19" fillId="2" borderId="0" xfId="0" applyNumberFormat="1" applyFont="1" applyFill="1" applyProtection="1">
      <protection hidden="1"/>
    </xf>
    <xf numFmtId="169" fontId="19" fillId="2" borderId="6" xfId="0" applyNumberFormat="1" applyFont="1" applyFill="1" applyBorder="1" applyAlignment="1" applyProtection="1">
      <alignment horizontal="center"/>
      <protection hidden="1"/>
    </xf>
    <xf numFmtId="1" fontId="19" fillId="2" borderId="0" xfId="0" applyNumberFormat="1" applyFont="1" applyFill="1" applyProtection="1">
      <protection hidden="1"/>
    </xf>
    <xf numFmtId="2" fontId="25" fillId="2" borderId="0" xfId="0" applyNumberFormat="1" applyFont="1" applyFill="1" applyProtection="1">
      <protection hidden="1"/>
    </xf>
    <xf numFmtId="0" fontId="24" fillId="2" borderId="25" xfId="0" applyFont="1" applyFill="1" applyBorder="1" applyAlignment="1" applyProtection="1">
      <alignment horizontal="center"/>
      <protection hidden="1"/>
    </xf>
    <xf numFmtId="0" fontId="25" fillId="2" borderId="0" xfId="0" applyFont="1" applyFill="1" applyProtection="1">
      <protection hidden="1"/>
    </xf>
    <xf numFmtId="0" fontId="18" fillId="2" borderId="7" xfId="0" applyFont="1" applyFill="1" applyBorder="1" applyAlignment="1" applyProtection="1">
      <alignment horizontal="center"/>
      <protection hidden="1"/>
    </xf>
    <xf numFmtId="0" fontId="18" fillId="2" borderId="14" xfId="0" applyFont="1" applyFill="1" applyBorder="1" applyAlignment="1" applyProtection="1">
      <alignment horizontal="left"/>
      <protection hidden="1"/>
    </xf>
    <xf numFmtId="169" fontId="19" fillId="2" borderId="16" xfId="0" applyNumberFormat="1" applyFont="1" applyFill="1" applyBorder="1" applyProtection="1">
      <protection hidden="1"/>
    </xf>
    <xf numFmtId="169" fontId="19" fillId="2" borderId="0" xfId="0" applyNumberFormat="1" applyFont="1" applyFill="1" applyProtection="1">
      <protection hidden="1"/>
    </xf>
    <xf numFmtId="0" fontId="32" fillId="2" borderId="0" xfId="0" applyFont="1" applyFill="1" applyAlignment="1" applyProtection="1">
      <alignment horizontal="center"/>
      <protection hidden="1"/>
    </xf>
    <xf numFmtId="2" fontId="19" fillId="2" borderId="0" xfId="0" applyNumberFormat="1" applyFont="1" applyFill="1" applyProtection="1"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0" fontId="24" fillId="2" borderId="0" xfId="0" applyFont="1" applyFill="1" applyProtection="1">
      <protection hidden="1"/>
    </xf>
    <xf numFmtId="0" fontId="33" fillId="2" borderId="0" xfId="0" applyFont="1" applyFill="1" applyProtection="1">
      <protection hidden="1"/>
    </xf>
    <xf numFmtId="0" fontId="32" fillId="2" borderId="9" xfId="0" applyFont="1" applyFill="1" applyBorder="1" applyAlignment="1" applyProtection="1">
      <alignment horizontal="center"/>
      <protection hidden="1"/>
    </xf>
    <xf numFmtId="0" fontId="30" fillId="2" borderId="0" xfId="0" applyFont="1" applyFill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19" fillId="2" borderId="2" xfId="0" applyFont="1" applyFill="1" applyBorder="1" applyProtection="1">
      <protection hidden="1"/>
    </xf>
    <xf numFmtId="49" fontId="18" fillId="2" borderId="5" xfId="0" applyNumberFormat="1" applyFont="1" applyFill="1" applyBorder="1" applyProtection="1">
      <protection hidden="1"/>
    </xf>
    <xf numFmtId="49" fontId="18" fillId="2" borderId="10" xfId="0" applyNumberFormat="1" applyFont="1" applyFill="1" applyBorder="1" applyProtection="1">
      <protection hidden="1"/>
    </xf>
    <xf numFmtId="49" fontId="18" fillId="2" borderId="8" xfId="0" applyNumberFormat="1" applyFont="1" applyFill="1" applyBorder="1" applyProtection="1">
      <protection hidden="1"/>
    </xf>
    <xf numFmtId="0" fontId="18" fillId="2" borderId="42" xfId="0" applyFont="1" applyFill="1" applyBorder="1" applyAlignment="1" applyProtection="1">
      <alignment horizontal="center" vertical="center"/>
      <protection hidden="1"/>
    </xf>
    <xf numFmtId="0" fontId="19" fillId="2" borderId="3" xfId="0" applyFont="1" applyFill="1" applyBorder="1" applyAlignment="1" applyProtection="1">
      <alignment horizontal="center"/>
      <protection hidden="1"/>
    </xf>
    <xf numFmtId="0" fontId="19" fillId="2" borderId="4" xfId="0" applyFont="1" applyFill="1" applyBorder="1" applyAlignment="1" applyProtection="1">
      <alignment horizontal="center"/>
      <protection hidden="1"/>
    </xf>
    <xf numFmtId="0" fontId="18" fillId="2" borderId="41" xfId="0" applyFont="1" applyFill="1" applyBorder="1" applyAlignment="1" applyProtection="1">
      <alignment horizontal="center" vertical="center"/>
      <protection hidden="1"/>
    </xf>
    <xf numFmtId="0" fontId="18" fillId="2" borderId="28" xfId="0" applyFont="1" applyFill="1" applyBorder="1" applyAlignment="1" applyProtection="1">
      <alignment horizontal="center" vertical="center"/>
      <protection hidden="1"/>
    </xf>
    <xf numFmtId="0" fontId="18" fillId="2" borderId="7" xfId="0" applyFont="1" applyFill="1" applyBorder="1" applyAlignment="1" applyProtection="1">
      <alignment horizontal="center" vertical="center" wrapText="1"/>
      <protection hidden="1"/>
    </xf>
    <xf numFmtId="0" fontId="19" fillId="2" borderId="2" xfId="0" applyFont="1" applyFill="1" applyBorder="1" applyAlignment="1" applyProtection="1">
      <alignment horizontal="center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38" xfId="0" applyFont="1" applyFill="1" applyBorder="1" applyAlignment="1" applyProtection="1">
      <alignment horizontal="center" wrapText="1"/>
      <protection hidden="1"/>
    </xf>
    <xf numFmtId="0" fontId="18" fillId="2" borderId="45" xfId="0" applyFont="1" applyFill="1" applyBorder="1" applyAlignment="1" applyProtection="1">
      <alignment horizontal="center" vertical="center"/>
      <protection hidden="1"/>
    </xf>
    <xf numFmtId="0" fontId="18" fillId="2" borderId="38" xfId="0" applyFont="1" applyFill="1" applyBorder="1" applyAlignment="1" applyProtection="1">
      <alignment horizontal="center" vertical="center" wrapText="1"/>
      <protection hidden="1"/>
    </xf>
    <xf numFmtId="0" fontId="30" fillId="2" borderId="9" xfId="0" applyFont="1" applyFill="1" applyBorder="1" applyAlignment="1" applyProtection="1">
      <alignment horizontal="center" vertical="center"/>
      <protection hidden="1"/>
    </xf>
    <xf numFmtId="0" fontId="18" fillId="2" borderId="59" xfId="0" applyFont="1" applyFill="1" applyBorder="1" applyAlignment="1" applyProtection="1">
      <alignment horizontal="center"/>
      <protection hidden="1"/>
    </xf>
    <xf numFmtId="0" fontId="18" fillId="2" borderId="60" xfId="0" applyFont="1" applyFill="1" applyBorder="1" applyAlignment="1" applyProtection="1">
      <alignment horizontal="center"/>
      <protection hidden="1"/>
    </xf>
    <xf numFmtId="0" fontId="26" fillId="2" borderId="42" xfId="0" applyFont="1" applyFill="1" applyBorder="1" applyAlignment="1" applyProtection="1">
      <alignment horizontal="center" vertical="center" wrapText="1"/>
      <protection hidden="1"/>
    </xf>
    <xf numFmtId="0" fontId="18" fillId="2" borderId="42" xfId="0" applyFont="1" applyFill="1" applyBorder="1" applyAlignment="1" applyProtection="1">
      <alignment horizontal="center" vertical="center" wrapText="1"/>
      <protection hidden="1"/>
    </xf>
    <xf numFmtId="0" fontId="30" fillId="2" borderId="42" xfId="0" applyFont="1" applyFill="1" applyBorder="1" applyAlignment="1" applyProtection="1">
      <alignment horizontal="center" vertical="center" wrapText="1"/>
      <protection hidden="1"/>
    </xf>
    <xf numFmtId="0" fontId="23" fillId="0" borderId="2" xfId="0" applyFont="1" applyBorder="1" applyAlignment="1" applyProtection="1">
      <alignment horizontal="center"/>
      <protection hidden="1"/>
    </xf>
    <xf numFmtId="0" fontId="18" fillId="2" borderId="0" xfId="0" applyFont="1" applyFill="1" applyAlignment="1" applyProtection="1">
      <alignment horizontal="center" wrapText="1"/>
      <protection hidden="1"/>
    </xf>
    <xf numFmtId="0" fontId="18" fillId="2" borderId="1" xfId="0" applyFont="1" applyFill="1" applyBorder="1" applyAlignment="1" applyProtection="1">
      <alignment horizontal="center" wrapText="1"/>
      <protection hidden="1"/>
    </xf>
    <xf numFmtId="3" fontId="19" fillId="0" borderId="0" xfId="0" applyNumberFormat="1" applyFont="1" applyAlignment="1" applyProtection="1">
      <alignment horizontal="center"/>
      <protection hidden="1"/>
    </xf>
    <xf numFmtId="0" fontId="21" fillId="0" borderId="0" xfId="5" applyFont="1" applyAlignment="1">
      <alignment horizontal="right"/>
    </xf>
    <xf numFmtId="169" fontId="19" fillId="2" borderId="65" xfId="0" applyNumberFormat="1" applyFont="1" applyFill="1" applyBorder="1" applyProtection="1">
      <protection hidden="1"/>
    </xf>
    <xf numFmtId="169" fontId="19" fillId="2" borderId="22" xfId="0" applyNumberFormat="1" applyFont="1" applyFill="1" applyBorder="1" applyAlignment="1" applyProtection="1">
      <alignment horizontal="center"/>
      <protection hidden="1"/>
    </xf>
    <xf numFmtId="0" fontId="19" fillId="2" borderId="65" xfId="0" applyFont="1" applyFill="1" applyBorder="1" applyAlignment="1" applyProtection="1">
      <alignment horizontal="center"/>
      <protection hidden="1"/>
    </xf>
    <xf numFmtId="0" fontId="19" fillId="2" borderId="66" xfId="0" applyFont="1" applyFill="1" applyBorder="1" applyAlignment="1" applyProtection="1">
      <alignment horizontal="center"/>
      <protection hidden="1"/>
    </xf>
    <xf numFmtId="0" fontId="19" fillId="2" borderId="61" xfId="0" applyFont="1" applyFill="1" applyBorder="1" applyAlignment="1" applyProtection="1">
      <alignment horizontal="center"/>
      <protection hidden="1"/>
    </xf>
    <xf numFmtId="169" fontId="19" fillId="2" borderId="68" xfId="0" applyNumberFormat="1" applyFont="1" applyFill="1" applyBorder="1" applyAlignment="1" applyProtection="1">
      <alignment horizontal="center"/>
      <protection hidden="1"/>
    </xf>
    <xf numFmtId="0" fontId="19" fillId="2" borderId="47" xfId="0" applyFont="1" applyFill="1" applyBorder="1" applyAlignment="1" applyProtection="1">
      <alignment horizontal="center"/>
      <protection hidden="1"/>
    </xf>
    <xf numFmtId="169" fontId="19" fillId="2" borderId="40" xfId="0" applyNumberFormat="1" applyFont="1" applyFill="1" applyBorder="1" applyAlignment="1" applyProtection="1">
      <alignment horizontal="center"/>
      <protection hidden="1"/>
    </xf>
    <xf numFmtId="0" fontId="19" fillId="2" borderId="66" xfId="0" applyFont="1" applyFill="1" applyBorder="1" applyProtection="1">
      <protection hidden="1"/>
    </xf>
    <xf numFmtId="169" fontId="19" fillId="2" borderId="68" xfId="0" applyNumberFormat="1" applyFont="1" applyFill="1" applyBorder="1" applyProtection="1">
      <protection hidden="1"/>
    </xf>
    <xf numFmtId="0" fontId="22" fillId="2" borderId="0" xfId="1" applyFont="1" applyFill="1" applyAlignment="1" applyProtection="1">
      <alignment vertical="center"/>
    </xf>
    <xf numFmtId="0" fontId="19" fillId="2" borderId="0" xfId="0" applyFont="1" applyFill="1" applyAlignment="1">
      <alignment horizontal="left"/>
    </xf>
    <xf numFmtId="0" fontId="19" fillId="2" borderId="5" xfId="0" applyFont="1" applyFill="1" applyBorder="1"/>
    <xf numFmtId="0" fontId="19" fillId="2" borderId="10" xfId="0" applyFont="1" applyFill="1" applyBorder="1" applyAlignment="1">
      <alignment horizontal="center"/>
    </xf>
    <xf numFmtId="173" fontId="19" fillId="2" borderId="15" xfId="0" applyNumberFormat="1" applyFont="1" applyFill="1" applyBorder="1" applyAlignment="1" applyProtection="1">
      <alignment horizontal="center"/>
      <protection hidden="1"/>
    </xf>
    <xf numFmtId="0" fontId="19" fillId="2" borderId="0" xfId="0" applyFont="1" applyFill="1"/>
    <xf numFmtId="0" fontId="19" fillId="2" borderId="0" xfId="0" applyFont="1" applyFill="1" applyAlignment="1">
      <alignment horizontal="center"/>
    </xf>
    <xf numFmtId="173" fontId="32" fillId="2" borderId="0" xfId="0" applyNumberFormat="1" applyFont="1" applyFill="1" applyAlignment="1" applyProtection="1">
      <alignment horizontal="center" vertical="center"/>
      <protection hidden="1"/>
    </xf>
    <xf numFmtId="175" fontId="32" fillId="2" borderId="9" xfId="0" applyNumberFormat="1" applyFont="1" applyFill="1" applyBorder="1" applyAlignment="1" applyProtection="1">
      <alignment horizontal="center"/>
      <protection hidden="1"/>
    </xf>
    <xf numFmtId="0" fontId="32" fillId="2" borderId="0" xfId="0" applyFont="1" applyFill="1" applyAlignment="1">
      <alignment horizontal="center" vertical="center"/>
    </xf>
    <xf numFmtId="173" fontId="32" fillId="2" borderId="0" xfId="0" applyNumberFormat="1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vertical="center"/>
    </xf>
    <xf numFmtId="0" fontId="0" fillId="2" borderId="0" xfId="0" applyFill="1"/>
    <xf numFmtId="0" fontId="19" fillId="2" borderId="2" xfId="0" applyFont="1" applyFill="1" applyBorder="1" applyAlignment="1">
      <alignment horizontal="center"/>
    </xf>
    <xf numFmtId="168" fontId="19" fillId="2" borderId="43" xfId="0" applyNumberFormat="1" applyFont="1" applyFill="1" applyBorder="1" applyAlignment="1" applyProtection="1">
      <alignment horizontal="center"/>
      <protection hidden="1"/>
    </xf>
    <xf numFmtId="0" fontId="22" fillId="0" borderId="0" xfId="1" applyFont="1" applyFill="1" applyAlignment="1" applyProtection="1">
      <alignment horizontal="right" vertical="center"/>
    </xf>
    <xf numFmtId="168" fontId="19" fillId="2" borderId="8" xfId="0" applyNumberFormat="1" applyFont="1" applyFill="1" applyBorder="1" applyAlignment="1">
      <alignment horizontal="center" vertical="center"/>
    </xf>
    <xf numFmtId="168" fontId="19" fillId="2" borderId="9" xfId="0" applyNumberFormat="1" applyFont="1" applyFill="1" applyBorder="1" applyAlignment="1">
      <alignment horizontal="center" vertical="center"/>
    </xf>
    <xf numFmtId="168" fontId="19" fillId="2" borderId="13" xfId="0" applyNumberFormat="1" applyFont="1" applyFill="1" applyBorder="1" applyAlignment="1">
      <alignment horizontal="center" vertical="center"/>
    </xf>
    <xf numFmtId="168" fontId="19" fillId="2" borderId="8" xfId="0" applyNumberFormat="1" applyFont="1" applyFill="1" applyBorder="1" applyAlignment="1">
      <alignment horizontal="center"/>
    </xf>
    <xf numFmtId="168" fontId="19" fillId="2" borderId="9" xfId="0" applyNumberFormat="1" applyFont="1" applyFill="1" applyBorder="1" applyAlignment="1">
      <alignment horizontal="center"/>
    </xf>
    <xf numFmtId="168" fontId="19" fillId="2" borderId="13" xfId="0" applyNumberFormat="1" applyFont="1" applyFill="1" applyBorder="1" applyAlignment="1">
      <alignment horizontal="center"/>
    </xf>
    <xf numFmtId="14" fontId="19" fillId="2" borderId="0" xfId="0" applyNumberFormat="1" applyFont="1" applyFill="1" applyAlignment="1" applyProtection="1">
      <alignment horizontal="left"/>
      <protection hidden="1"/>
    </xf>
    <xf numFmtId="0" fontId="19" fillId="2" borderId="0" xfId="0" quotePrefix="1" applyFont="1" applyFill="1" applyProtection="1">
      <protection hidden="1"/>
    </xf>
    <xf numFmtId="0" fontId="32" fillId="0" borderId="2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/>
    <xf numFmtId="49" fontId="19" fillId="0" borderId="0" xfId="0" applyNumberFormat="1" applyFont="1"/>
    <xf numFmtId="0" fontId="19" fillId="0" borderId="1" xfId="0" applyFont="1" applyBorder="1"/>
    <xf numFmtId="0" fontId="28" fillId="0" borderId="0" xfId="1" applyFont="1" applyFill="1" applyAlignment="1" applyProtection="1">
      <alignment vertical="center"/>
    </xf>
    <xf numFmtId="0" fontId="17" fillId="0" borderId="0" xfId="1" applyFont="1" applyFill="1" applyAlignment="1" applyProtection="1">
      <alignment vertical="center"/>
    </xf>
    <xf numFmtId="0" fontId="19" fillId="5" borderId="0" xfId="0" applyFont="1" applyFill="1" applyProtection="1">
      <protection locked="0" hidden="1"/>
    </xf>
    <xf numFmtId="0" fontId="19" fillId="5" borderId="0" xfId="0" applyFont="1" applyFill="1" applyAlignment="1" applyProtection="1">
      <alignment horizontal="left"/>
      <protection locked="0"/>
    </xf>
    <xf numFmtId="2" fontId="19" fillId="5" borderId="37" xfId="0" applyNumberFormat="1" applyFont="1" applyFill="1" applyBorder="1" applyAlignment="1" applyProtection="1">
      <alignment horizontal="center"/>
      <protection locked="0"/>
    </xf>
    <xf numFmtId="2" fontId="19" fillId="5" borderId="21" xfId="0" applyNumberFormat="1" applyFont="1" applyFill="1" applyBorder="1" applyAlignment="1" applyProtection="1">
      <alignment horizontal="center"/>
      <protection locked="0"/>
    </xf>
    <xf numFmtId="2" fontId="19" fillId="5" borderId="25" xfId="0" applyNumberFormat="1" applyFont="1" applyFill="1" applyBorder="1" applyAlignment="1" applyProtection="1">
      <alignment horizontal="center"/>
      <protection locked="0"/>
    </xf>
    <xf numFmtId="0" fontId="18" fillId="5" borderId="37" xfId="0" applyFont="1" applyFill="1" applyBorder="1" applyAlignment="1" applyProtection="1">
      <alignment horizontal="center"/>
      <protection locked="0"/>
    </xf>
    <xf numFmtId="0" fontId="19" fillId="5" borderId="5" xfId="0" applyFont="1" applyFill="1" applyBorder="1" applyProtection="1">
      <protection locked="0"/>
    </xf>
    <xf numFmtId="0" fontId="19" fillId="5" borderId="10" xfId="0" applyFont="1" applyFill="1" applyBorder="1" applyAlignment="1" applyProtection="1">
      <alignment horizontal="center"/>
      <protection locked="0"/>
    </xf>
    <xf numFmtId="169" fontId="19" fillId="5" borderId="10" xfId="0" applyNumberFormat="1" applyFont="1" applyFill="1" applyBorder="1" applyAlignment="1" applyProtection="1">
      <alignment horizontal="center"/>
      <protection locked="0"/>
    </xf>
    <xf numFmtId="167" fontId="19" fillId="5" borderId="10" xfId="0" applyNumberFormat="1" applyFont="1" applyFill="1" applyBorder="1" applyAlignment="1" applyProtection="1">
      <alignment horizontal="center"/>
      <protection locked="0"/>
    </xf>
    <xf numFmtId="168" fontId="19" fillId="5" borderId="10" xfId="0" applyNumberFormat="1" applyFont="1" applyFill="1" applyBorder="1" applyAlignment="1" applyProtection="1">
      <alignment horizontal="center"/>
      <protection locked="0" hidden="1"/>
    </xf>
    <xf numFmtId="169" fontId="19" fillId="5" borderId="17" xfId="0" applyNumberFormat="1" applyFont="1" applyFill="1" applyBorder="1" applyAlignment="1" applyProtection="1">
      <alignment horizontal="center"/>
      <protection locked="0"/>
    </xf>
    <xf numFmtId="2" fontId="19" fillId="5" borderId="14" xfId="0" applyNumberFormat="1" applyFont="1" applyFill="1" applyBorder="1" applyAlignment="1" applyProtection="1">
      <alignment horizontal="center"/>
      <protection locked="0"/>
    </xf>
    <xf numFmtId="2" fontId="19" fillId="5" borderId="12" xfId="0" applyNumberFormat="1" applyFont="1" applyFill="1" applyBorder="1" applyAlignment="1" applyProtection="1">
      <alignment horizontal="center"/>
      <protection locked="0"/>
    </xf>
    <xf numFmtId="0" fontId="18" fillId="5" borderId="14" xfId="0" applyFont="1" applyFill="1" applyBorder="1" applyAlignment="1" applyProtection="1">
      <alignment horizontal="center"/>
      <protection locked="0"/>
    </xf>
    <xf numFmtId="169" fontId="19" fillId="5" borderId="11" xfId="0" applyNumberFormat="1" applyFont="1" applyFill="1" applyBorder="1" applyAlignment="1" applyProtection="1">
      <alignment horizontal="center"/>
      <protection locked="0" hidden="1"/>
    </xf>
    <xf numFmtId="169" fontId="32" fillId="5" borderId="0" xfId="0" applyNumberFormat="1" applyFont="1" applyFill="1" applyAlignment="1" applyProtection="1">
      <alignment horizontal="center" vertical="center"/>
      <protection locked="0" hidden="1"/>
    </xf>
    <xf numFmtId="0" fontId="19" fillId="5" borderId="0" xfId="0" applyFont="1" applyFill="1" applyProtection="1">
      <protection locked="0"/>
    </xf>
    <xf numFmtId="0" fontId="19" fillId="5" borderId="0" xfId="0" applyFont="1" applyFill="1" applyAlignment="1" applyProtection="1">
      <alignment horizontal="left"/>
      <protection locked="0" hidden="1"/>
    </xf>
    <xf numFmtId="0" fontId="19" fillId="5" borderId="10" xfId="0" applyFont="1" applyFill="1" applyBorder="1" applyAlignment="1" applyProtection="1">
      <alignment horizontal="center"/>
      <protection locked="0" hidden="1"/>
    </xf>
    <xf numFmtId="0" fontId="18" fillId="5" borderId="15" xfId="0" applyFont="1" applyFill="1" applyBorder="1" applyAlignment="1" applyProtection="1">
      <alignment horizontal="center"/>
      <protection locked="0" hidden="1"/>
    </xf>
    <xf numFmtId="0" fontId="19" fillId="5" borderId="27" xfId="0" applyFont="1" applyFill="1" applyBorder="1" applyAlignment="1" applyProtection="1">
      <alignment horizontal="center"/>
      <protection locked="0" hidden="1"/>
    </xf>
    <xf numFmtId="0" fontId="19" fillId="5" borderId="0" xfId="0" applyFont="1" applyFill="1" applyAlignment="1" applyProtection="1">
      <alignment vertical="center"/>
      <protection locked="0" hidden="1"/>
    </xf>
    <xf numFmtId="0" fontId="19" fillId="5" borderId="0" xfId="0" quotePrefix="1" applyFont="1" applyFill="1" applyAlignment="1" applyProtection="1">
      <alignment horizontal="left"/>
      <protection locked="0" hidden="1"/>
    </xf>
    <xf numFmtId="0" fontId="5" fillId="5" borderId="0" xfId="0" applyFont="1" applyFill="1" applyProtection="1">
      <protection locked="0" hidden="1"/>
    </xf>
    <xf numFmtId="0" fontId="2" fillId="5" borderId="0" xfId="0" applyFont="1" applyFill="1" applyProtection="1">
      <protection locked="0"/>
    </xf>
    <xf numFmtId="0" fontId="2" fillId="5" borderId="2" xfId="0" applyFont="1" applyFill="1" applyBorder="1" applyProtection="1">
      <protection locked="0" hidden="1"/>
    </xf>
    <xf numFmtId="0" fontId="21" fillId="0" borderId="0" xfId="5" applyFont="1" applyAlignment="1">
      <alignment horizontal="right"/>
    </xf>
    <xf numFmtId="0" fontId="19" fillId="2" borderId="0" xfId="0" applyFont="1" applyFill="1" applyAlignment="1" applyProtection="1">
      <alignment horizontal="left"/>
      <protection hidden="1"/>
    </xf>
    <xf numFmtId="0" fontId="18" fillId="2" borderId="0" xfId="0" applyFont="1" applyFill="1" applyAlignment="1" applyProtection="1">
      <alignment horizontal="center"/>
      <protection hidden="1"/>
    </xf>
    <xf numFmtId="0" fontId="19" fillId="2" borderId="45" xfId="0" applyFont="1" applyFill="1" applyBorder="1" applyAlignment="1" applyProtection="1">
      <alignment horizontal="center" vertical="center"/>
      <protection hidden="1"/>
    </xf>
    <xf numFmtId="0" fontId="19" fillId="2" borderId="42" xfId="0" applyFont="1" applyFill="1" applyBorder="1" applyAlignment="1" applyProtection="1">
      <alignment horizontal="center" vertical="center" wrapText="1"/>
      <protection hidden="1"/>
    </xf>
    <xf numFmtId="0" fontId="19" fillId="2" borderId="42" xfId="0" applyFont="1" applyFill="1" applyBorder="1" applyAlignment="1" applyProtection="1">
      <alignment horizontal="center" wrapText="1"/>
      <protection hidden="1"/>
    </xf>
    <xf numFmtId="0" fontId="28" fillId="0" borderId="0" xfId="5" applyFont="1" applyAlignment="1">
      <alignment horizontal="right"/>
    </xf>
    <xf numFmtId="0" fontId="28" fillId="0" borderId="0" xfId="1" applyFont="1" applyFill="1" applyAlignment="1" applyProtection="1">
      <alignment horizontal="right" vertical="center"/>
    </xf>
    <xf numFmtId="0" fontId="22" fillId="0" borderId="0" xfId="1" applyFont="1" applyFill="1" applyAlignment="1" applyProtection="1">
      <alignment horizontal="right" vertical="center"/>
    </xf>
    <xf numFmtId="0" fontId="19" fillId="2" borderId="38" xfId="0" applyFont="1" applyFill="1" applyBorder="1" applyAlignment="1" applyProtection="1">
      <alignment horizontal="center" vertical="center" wrapText="1"/>
      <protection hidden="1"/>
    </xf>
    <xf numFmtId="0" fontId="19" fillId="2" borderId="44" xfId="0" applyFont="1" applyFill="1" applyBorder="1" applyAlignment="1" applyProtection="1">
      <alignment horizontal="center"/>
      <protection hidden="1"/>
    </xf>
    <xf numFmtId="0" fontId="19" fillId="2" borderId="46" xfId="0" applyFont="1" applyFill="1" applyBorder="1" applyAlignment="1" applyProtection="1">
      <alignment horizontal="center"/>
      <protection hidden="1"/>
    </xf>
    <xf numFmtId="0" fontId="19" fillId="2" borderId="39" xfId="0" applyFont="1" applyFill="1" applyBorder="1" applyAlignment="1" applyProtection="1">
      <alignment horizontal="center"/>
      <protection hidden="1"/>
    </xf>
    <xf numFmtId="0" fontId="19" fillId="2" borderId="7" xfId="0" applyFont="1" applyFill="1" applyBorder="1" applyAlignment="1" applyProtection="1">
      <alignment horizontal="center"/>
      <protection hidden="1"/>
    </xf>
    <xf numFmtId="0" fontId="18" fillId="2" borderId="21" xfId="0" applyFont="1" applyFill="1" applyBorder="1" applyAlignment="1" applyProtection="1">
      <alignment horizontal="center" vertical="center"/>
      <protection hidden="1"/>
    </xf>
    <xf numFmtId="0" fontId="18" fillId="2" borderId="14" xfId="0" applyFont="1" applyFill="1" applyBorder="1" applyAlignment="1" applyProtection="1">
      <alignment horizontal="center" vertical="center"/>
      <protection hidden="1"/>
    </xf>
    <xf numFmtId="0" fontId="18" fillId="2" borderId="30" xfId="0" applyFont="1" applyFill="1" applyBorder="1" applyAlignment="1" applyProtection="1">
      <alignment horizontal="center" vertical="center"/>
      <protection hidden="1"/>
    </xf>
    <xf numFmtId="0" fontId="18" fillId="2" borderId="21" xfId="0" applyFont="1" applyFill="1" applyBorder="1" applyAlignment="1" applyProtection="1">
      <alignment horizontal="center"/>
      <protection hidden="1"/>
    </xf>
    <xf numFmtId="0" fontId="18" fillId="2" borderId="14" xfId="0" applyFont="1" applyFill="1" applyBorder="1" applyAlignment="1" applyProtection="1">
      <alignment horizontal="center"/>
      <protection hidden="1"/>
    </xf>
    <xf numFmtId="0" fontId="19" fillId="2" borderId="42" xfId="0" applyFont="1" applyFill="1" applyBorder="1" applyAlignment="1" applyProtection="1">
      <alignment horizontal="center" vertical="center"/>
      <protection hidden="1"/>
    </xf>
    <xf numFmtId="0" fontId="19" fillId="2" borderId="49" xfId="0" applyFont="1" applyFill="1" applyBorder="1" applyAlignment="1" applyProtection="1">
      <alignment horizontal="center"/>
      <protection hidden="1"/>
    </xf>
    <xf numFmtId="0" fontId="19" fillId="2" borderId="50" xfId="0" applyFont="1" applyFill="1" applyBorder="1" applyAlignment="1" applyProtection="1">
      <alignment horizontal="center"/>
      <protection hidden="1"/>
    </xf>
    <xf numFmtId="0" fontId="19" fillId="2" borderId="41" xfId="0" applyFont="1" applyFill="1" applyBorder="1" applyAlignment="1" applyProtection="1">
      <alignment horizontal="center" vertical="center"/>
      <protection hidden="1"/>
    </xf>
    <xf numFmtId="0" fontId="19" fillId="2" borderId="28" xfId="0" applyFont="1" applyFill="1" applyBorder="1" applyAlignment="1" applyProtection="1">
      <alignment horizontal="center" vertical="center"/>
      <protection hidden="1"/>
    </xf>
    <xf numFmtId="0" fontId="18" fillId="2" borderId="37" xfId="0" applyFont="1" applyFill="1" applyBorder="1" applyAlignment="1" applyProtection="1">
      <alignment horizontal="center"/>
      <protection hidden="1"/>
    </xf>
    <xf numFmtId="0" fontId="21" fillId="2" borderId="0" xfId="5" applyFont="1" applyFill="1" applyAlignment="1">
      <alignment horizontal="right"/>
    </xf>
    <xf numFmtId="0" fontId="28" fillId="2" borderId="0" xfId="5" applyFont="1" applyFill="1" applyAlignment="1">
      <alignment horizontal="right"/>
    </xf>
    <xf numFmtId="0" fontId="28" fillId="2" borderId="0" xfId="1" applyFont="1" applyFill="1" applyAlignment="1" applyProtection="1">
      <alignment horizontal="right" vertical="center"/>
    </xf>
    <xf numFmtId="0" fontId="22" fillId="2" borderId="0" xfId="1" applyFont="1" applyFill="1" applyAlignment="1" applyProtection="1">
      <alignment horizontal="right" vertical="center"/>
    </xf>
    <xf numFmtId="0" fontId="18" fillId="2" borderId="45" xfId="0" applyFont="1" applyFill="1" applyBorder="1" applyAlignment="1" applyProtection="1">
      <alignment horizontal="center" vertical="center"/>
      <protection hidden="1"/>
    </xf>
    <xf numFmtId="0" fontId="18" fillId="2" borderId="48" xfId="0" applyFont="1" applyFill="1" applyBorder="1" applyAlignment="1" applyProtection="1">
      <alignment horizontal="center" vertical="center"/>
      <protection hidden="1"/>
    </xf>
    <xf numFmtId="0" fontId="18" fillId="2" borderId="30" xfId="0" applyFont="1" applyFill="1" applyBorder="1" applyAlignment="1" applyProtection="1">
      <alignment horizontal="center"/>
      <protection hidden="1"/>
    </xf>
    <xf numFmtId="0" fontId="18" fillId="2" borderId="42" xfId="0" applyFont="1" applyFill="1" applyBorder="1" applyAlignment="1" applyProtection="1">
      <alignment horizontal="center" vertical="center"/>
      <protection hidden="1"/>
    </xf>
    <xf numFmtId="171" fontId="19" fillId="4" borderId="0" xfId="7" applyNumberFormat="1" applyFont="1" applyFill="1" applyAlignment="1" applyProtection="1">
      <alignment horizontal="right"/>
      <protection hidden="1"/>
    </xf>
    <xf numFmtId="0" fontId="18" fillId="2" borderId="29" xfId="0" applyFont="1" applyFill="1" applyBorder="1" applyAlignment="1" applyProtection="1">
      <alignment horizontal="center" vertical="center"/>
      <protection hidden="1"/>
    </xf>
    <xf numFmtId="0" fontId="18" fillId="2" borderId="28" xfId="0" applyFont="1" applyFill="1" applyBorder="1" applyAlignment="1" applyProtection="1">
      <alignment horizontal="center" vertical="center"/>
      <protection hidden="1"/>
    </xf>
    <xf numFmtId="0" fontId="26" fillId="2" borderId="42" xfId="0" applyFont="1" applyFill="1" applyBorder="1" applyAlignment="1" applyProtection="1">
      <alignment horizontal="center" vertical="center" wrapText="1"/>
      <protection hidden="1"/>
    </xf>
    <xf numFmtId="0" fontId="26" fillId="2" borderId="35" xfId="0" applyFont="1" applyFill="1" applyBorder="1" applyAlignment="1" applyProtection="1">
      <alignment horizontal="center" vertical="center" wrapText="1"/>
      <protection hidden="1"/>
    </xf>
    <xf numFmtId="0" fontId="18" fillId="2" borderId="26" xfId="0" applyFont="1" applyFill="1" applyBorder="1" applyAlignment="1" applyProtection="1">
      <alignment horizontal="center" vertical="center" wrapText="1"/>
      <protection hidden="1"/>
    </xf>
    <xf numFmtId="0" fontId="30" fillId="2" borderId="44" xfId="0" applyFont="1" applyFill="1" applyBorder="1" applyAlignment="1" applyProtection="1">
      <alignment horizontal="center" vertical="center" wrapText="1"/>
      <protection hidden="1"/>
    </xf>
    <xf numFmtId="0" fontId="18" fillId="2" borderId="46" xfId="0" applyFont="1" applyFill="1" applyBorder="1" applyAlignment="1" applyProtection="1">
      <alignment horizontal="center" vertical="center" wrapText="1"/>
      <protection hidden="1"/>
    </xf>
    <xf numFmtId="0" fontId="30" fillId="2" borderId="42" xfId="0" applyFont="1" applyFill="1" applyBorder="1" applyAlignment="1" applyProtection="1">
      <alignment horizontal="center" vertical="center" wrapText="1"/>
      <protection hidden="1"/>
    </xf>
    <xf numFmtId="0" fontId="26" fillId="2" borderId="27" xfId="0" applyFont="1" applyFill="1" applyBorder="1" applyAlignment="1" applyProtection="1">
      <alignment horizontal="center" vertical="center" wrapText="1"/>
      <protection hidden="1"/>
    </xf>
    <xf numFmtId="0" fontId="28" fillId="0" borderId="0" xfId="1" applyFont="1" applyFill="1" applyAlignment="1">
      <alignment horizontal="right" vertical="center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 applyProtection="1">
      <alignment horizontal="left"/>
      <protection hidden="1"/>
    </xf>
    <xf numFmtId="0" fontId="19" fillId="0" borderId="0" xfId="0" applyFont="1" applyAlignment="1">
      <alignment horizontal="left" vertical="center"/>
    </xf>
    <xf numFmtId="0" fontId="18" fillId="0" borderId="0" xfId="0" applyFont="1" applyAlignment="1" applyProtection="1">
      <alignment horizontal="center"/>
      <protection locked="0"/>
    </xf>
    <xf numFmtId="0" fontId="19" fillId="0" borderId="8" xfId="0" applyFont="1" applyBorder="1" applyAlignment="1" applyProtection="1">
      <alignment horizontal="left"/>
      <protection locked="0"/>
    </xf>
    <xf numFmtId="0" fontId="19" fillId="0" borderId="9" xfId="0" applyFont="1" applyBorder="1" applyAlignment="1" applyProtection="1">
      <alignment horizontal="left"/>
      <protection locked="0"/>
    </xf>
    <xf numFmtId="0" fontId="19" fillId="0" borderId="13" xfId="0" applyFont="1" applyBorder="1" applyAlignment="1" applyProtection="1">
      <alignment horizontal="left"/>
      <protection locked="0"/>
    </xf>
    <xf numFmtId="0" fontId="19" fillId="0" borderId="13" xfId="0" applyFont="1" applyBorder="1" applyAlignment="1">
      <alignment horizontal="left" vertical="center"/>
    </xf>
    <xf numFmtId="0" fontId="22" fillId="0" borderId="0" xfId="1" applyFont="1" applyFill="1" applyAlignment="1">
      <alignment horizontal="right" vertical="center"/>
    </xf>
    <xf numFmtId="0" fontId="34" fillId="0" borderId="0" xfId="0" applyFont="1" applyAlignment="1" applyProtection="1">
      <alignment horizontal="center"/>
      <protection locked="0"/>
    </xf>
    <xf numFmtId="0" fontId="18" fillId="0" borderId="10" xfId="0" applyFont="1" applyBorder="1" applyAlignment="1" applyProtection="1">
      <alignment horizontal="center"/>
      <protection locked="0"/>
    </xf>
    <xf numFmtId="0" fontId="18" fillId="0" borderId="8" xfId="0" applyFont="1" applyBorder="1" applyAlignment="1" applyProtection="1">
      <alignment horizontal="center"/>
      <protection locked="0"/>
    </xf>
    <xf numFmtId="0" fontId="18" fillId="0" borderId="13" xfId="0" applyFont="1" applyBorder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9" fillId="0" borderId="8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2" xfId="0" applyFont="1" applyBorder="1" applyAlignment="1" applyProtection="1">
      <alignment horizontal="center"/>
      <protection hidden="1"/>
    </xf>
    <xf numFmtId="0" fontId="35" fillId="0" borderId="0" xfId="0" applyFont="1" applyAlignment="1" applyProtection="1">
      <alignment horizontal="left"/>
      <protection locked="0"/>
    </xf>
    <xf numFmtId="0" fontId="19" fillId="0" borderId="2" xfId="0" applyFont="1" applyBorder="1" applyAlignment="1" applyProtection="1">
      <alignment horizontal="center"/>
      <protection locked="0"/>
    </xf>
    <xf numFmtId="0" fontId="18" fillId="2" borderId="54" xfId="0" applyFont="1" applyFill="1" applyBorder="1" applyAlignment="1" applyProtection="1">
      <alignment horizontal="center"/>
      <protection hidden="1"/>
    </xf>
    <xf numFmtId="0" fontId="18" fillId="2" borderId="58" xfId="0" applyFont="1" applyFill="1" applyBorder="1" applyAlignment="1" applyProtection="1">
      <alignment horizontal="center"/>
      <protection hidden="1"/>
    </xf>
    <xf numFmtId="0" fontId="18" fillId="2" borderId="52" xfId="0" applyFont="1" applyFill="1" applyBorder="1" applyAlignment="1" applyProtection="1">
      <alignment horizontal="center"/>
      <protection hidden="1"/>
    </xf>
    <xf numFmtId="0" fontId="18" fillId="2" borderId="9" xfId="0" applyFont="1" applyFill="1" applyBorder="1" applyAlignment="1" applyProtection="1">
      <alignment horizontal="center"/>
      <protection hidden="1"/>
    </xf>
    <xf numFmtId="0" fontId="18" fillId="2" borderId="3" xfId="0" applyFont="1" applyFill="1" applyBorder="1" applyAlignment="1" applyProtection="1">
      <alignment horizontal="center"/>
      <protection hidden="1"/>
    </xf>
    <xf numFmtId="0" fontId="18" fillId="2" borderId="39" xfId="0" applyFont="1" applyFill="1" applyBorder="1" applyAlignment="1" applyProtection="1">
      <alignment horizontal="center"/>
      <protection hidden="1"/>
    </xf>
    <xf numFmtId="0" fontId="19" fillId="2" borderId="41" xfId="0" applyFont="1" applyFill="1" applyBorder="1" applyAlignment="1" applyProtection="1">
      <alignment horizontal="center"/>
      <protection hidden="1"/>
    </xf>
    <xf numFmtId="0" fontId="19" fillId="2" borderId="28" xfId="0" applyFont="1" applyFill="1" applyBorder="1" applyAlignment="1" applyProtection="1">
      <alignment horizontal="center"/>
      <protection hidden="1"/>
    </xf>
    <xf numFmtId="0" fontId="19" fillId="5" borderId="54" xfId="0" applyFont="1" applyFill="1" applyBorder="1" applyAlignment="1" applyProtection="1">
      <alignment horizontal="center"/>
      <protection locked="0"/>
    </xf>
    <xf numFmtId="0" fontId="19" fillId="2" borderId="55" xfId="0" applyFont="1" applyFill="1" applyBorder="1" applyAlignment="1">
      <alignment horizontal="center"/>
    </xf>
    <xf numFmtId="49" fontId="19" fillId="5" borderId="9" xfId="0" applyNumberFormat="1" applyFont="1" applyFill="1" applyBorder="1" applyAlignment="1" applyProtection="1">
      <alignment horizontal="center"/>
      <protection locked="0"/>
    </xf>
    <xf numFmtId="49" fontId="19" fillId="2" borderId="33" xfId="0" applyNumberFormat="1" applyFont="1" applyFill="1" applyBorder="1" applyAlignment="1">
      <alignment horizontal="center"/>
    </xf>
    <xf numFmtId="0" fontId="19" fillId="5" borderId="56" xfId="0" applyFont="1" applyFill="1" applyBorder="1" applyAlignment="1" applyProtection="1">
      <alignment horizontal="center"/>
      <protection locked="0"/>
    </xf>
    <xf numFmtId="0" fontId="19" fillId="2" borderId="57" xfId="0" applyFont="1" applyFill="1" applyBorder="1" applyAlignment="1">
      <alignment horizontal="center"/>
    </xf>
    <xf numFmtId="0" fontId="18" fillId="5" borderId="14" xfId="0" applyFont="1" applyFill="1" applyBorder="1" applyAlignment="1" applyProtection="1">
      <alignment horizontal="center"/>
      <protection locked="0" hidden="1"/>
    </xf>
    <xf numFmtId="0" fontId="19" fillId="5" borderId="0" xfId="0" applyFont="1" applyFill="1" applyAlignment="1" applyProtection="1">
      <alignment horizontal="center"/>
      <protection locked="0"/>
    </xf>
    <xf numFmtId="0" fontId="19" fillId="2" borderId="50" xfId="0" applyFont="1" applyFill="1" applyBorder="1" applyAlignment="1">
      <alignment horizontal="center"/>
    </xf>
    <xf numFmtId="0" fontId="18" fillId="2" borderId="62" xfId="0" applyFont="1" applyFill="1" applyBorder="1" applyAlignment="1" applyProtection="1">
      <alignment horizontal="center"/>
      <protection hidden="1"/>
    </xf>
    <xf numFmtId="0" fontId="18" fillId="2" borderId="63" xfId="0" applyFont="1" applyFill="1" applyBorder="1" applyAlignment="1" applyProtection="1">
      <alignment horizontal="center"/>
      <protection hidden="1"/>
    </xf>
    <xf numFmtId="0" fontId="18" fillId="2" borderId="64" xfId="0" applyFont="1" applyFill="1" applyBorder="1" applyAlignment="1" applyProtection="1">
      <alignment horizontal="center"/>
      <protection hidden="1"/>
    </xf>
    <xf numFmtId="0" fontId="18" fillId="5" borderId="21" xfId="0" applyFont="1" applyFill="1" applyBorder="1" applyAlignment="1" applyProtection="1">
      <alignment horizontal="center"/>
      <protection locked="0" hidden="1"/>
    </xf>
    <xf numFmtId="0" fontId="18" fillId="0" borderId="0" xfId="0" applyFont="1" applyAlignment="1" applyProtection="1">
      <alignment horizontal="center"/>
      <protection hidden="1"/>
    </xf>
    <xf numFmtId="0" fontId="18" fillId="2" borderId="53" xfId="0" applyFont="1" applyFill="1" applyBorder="1" applyAlignment="1" applyProtection="1">
      <alignment horizontal="center"/>
      <protection hidden="1"/>
    </xf>
    <xf numFmtId="0" fontId="18" fillId="2" borderId="32" xfId="0" applyFont="1" applyFill="1" applyBorder="1" applyAlignment="1" applyProtection="1">
      <alignment horizontal="center"/>
      <protection hidden="1"/>
    </xf>
    <xf numFmtId="0" fontId="19" fillId="2" borderId="5" xfId="0" applyFont="1" applyFill="1" applyBorder="1" applyAlignment="1" applyProtection="1">
      <alignment horizontal="center"/>
      <protection hidden="1"/>
    </xf>
    <xf numFmtId="0" fontId="19" fillId="2" borderId="6" xfId="0" applyFont="1" applyFill="1" applyBorder="1" applyAlignment="1" applyProtection="1">
      <alignment horizontal="center"/>
      <protection hidden="1"/>
    </xf>
    <xf numFmtId="0" fontId="19" fillId="5" borderId="52" xfId="0" applyFont="1" applyFill="1" applyBorder="1" applyAlignment="1" applyProtection="1">
      <alignment horizontal="center"/>
      <protection locked="0"/>
    </xf>
    <xf numFmtId="0" fontId="19" fillId="2" borderId="33" xfId="0" applyFont="1" applyFill="1" applyBorder="1" applyAlignment="1">
      <alignment horizontal="center"/>
    </xf>
    <xf numFmtId="0" fontId="18" fillId="2" borderId="65" xfId="0" applyFont="1" applyFill="1" applyBorder="1" applyAlignment="1" applyProtection="1">
      <alignment horizontal="center"/>
      <protection hidden="1"/>
    </xf>
    <xf numFmtId="0" fontId="18" fillId="2" borderId="66" xfId="0" applyFont="1" applyFill="1" applyBorder="1" applyAlignment="1" applyProtection="1">
      <alignment horizontal="center"/>
      <protection hidden="1"/>
    </xf>
    <xf numFmtId="49" fontId="18" fillId="2" borderId="51" xfId="0" applyNumberFormat="1" applyFont="1" applyFill="1" applyBorder="1" applyAlignment="1" applyProtection="1">
      <alignment horizontal="center"/>
      <protection hidden="1"/>
    </xf>
    <xf numFmtId="49" fontId="18" fillId="2" borderId="1" xfId="0" applyNumberFormat="1" applyFont="1" applyFill="1" applyBorder="1" applyAlignment="1" applyProtection="1">
      <alignment horizontal="center"/>
      <protection hidden="1"/>
    </xf>
    <xf numFmtId="49" fontId="18" fillId="2" borderId="52" xfId="0" applyNumberFormat="1" applyFont="1" applyFill="1" applyBorder="1" applyAlignment="1" applyProtection="1">
      <alignment horizontal="center"/>
      <protection hidden="1"/>
    </xf>
    <xf numFmtId="49" fontId="18" fillId="2" borderId="9" xfId="0" applyNumberFormat="1" applyFont="1" applyFill="1" applyBorder="1" applyAlignment="1" applyProtection="1">
      <alignment horizontal="center"/>
      <protection hidden="1"/>
    </xf>
    <xf numFmtId="49" fontId="19" fillId="5" borderId="1" xfId="0" quotePrefix="1" applyNumberFormat="1" applyFont="1" applyFill="1" applyBorder="1" applyAlignment="1" applyProtection="1">
      <alignment horizontal="center"/>
      <protection locked="0"/>
    </xf>
    <xf numFmtId="49" fontId="19" fillId="2" borderId="36" xfId="0" quotePrefix="1" applyNumberFormat="1" applyFont="1" applyFill="1" applyBorder="1" applyAlignment="1">
      <alignment horizontal="center"/>
    </xf>
    <xf numFmtId="49" fontId="19" fillId="5" borderId="51" xfId="0" quotePrefix="1" applyNumberFormat="1" applyFont="1" applyFill="1" applyBorder="1" applyAlignment="1" applyProtection="1">
      <alignment horizontal="center"/>
      <protection locked="0"/>
    </xf>
    <xf numFmtId="49" fontId="19" fillId="5" borderId="52" xfId="0" applyNumberFormat="1" applyFont="1" applyFill="1" applyBorder="1" applyAlignment="1" applyProtection="1">
      <alignment horizontal="center"/>
      <protection locked="0"/>
    </xf>
    <xf numFmtId="0" fontId="19" fillId="5" borderId="58" xfId="0" applyFont="1" applyFill="1" applyBorder="1" applyAlignment="1" applyProtection="1">
      <alignment horizontal="center"/>
      <protection locked="0" hidden="1"/>
    </xf>
    <xf numFmtId="0" fontId="19" fillId="2" borderId="55" xfId="0" applyFont="1" applyFill="1" applyBorder="1" applyAlignment="1" applyProtection="1">
      <alignment horizontal="center"/>
      <protection hidden="1"/>
    </xf>
    <xf numFmtId="0" fontId="19" fillId="5" borderId="54" xfId="0" applyFont="1" applyFill="1" applyBorder="1" applyAlignment="1" applyProtection="1">
      <alignment horizontal="center"/>
      <protection locked="0" hidden="1"/>
    </xf>
    <xf numFmtId="0" fontId="19" fillId="2" borderId="67" xfId="0" applyFont="1" applyFill="1" applyBorder="1" applyAlignment="1" applyProtection="1">
      <alignment horizontal="center" vertical="center"/>
      <protection hidden="1"/>
    </xf>
    <xf numFmtId="0" fontId="19" fillId="2" borderId="57" xfId="0" applyFont="1" applyFill="1" applyBorder="1" applyAlignment="1" applyProtection="1">
      <alignment horizontal="center" vertical="center"/>
      <protection hidden="1"/>
    </xf>
    <xf numFmtId="0" fontId="19" fillId="2" borderId="57" xfId="0" applyFont="1" applyFill="1" applyBorder="1" applyAlignment="1" applyProtection="1">
      <alignment horizontal="center" vertical="center" wrapText="1"/>
      <protection hidden="1"/>
    </xf>
    <xf numFmtId="0" fontId="19" fillId="2" borderId="57" xfId="0" applyFont="1" applyFill="1" applyBorder="1" applyAlignment="1" applyProtection="1">
      <alignment horizontal="center" wrapText="1"/>
      <protection hidden="1"/>
    </xf>
    <xf numFmtId="0" fontId="19" fillId="2" borderId="17" xfId="0" applyFont="1" applyFill="1" applyBorder="1" applyAlignment="1" applyProtection="1">
      <alignment horizontal="center" vertical="center"/>
      <protection hidden="1"/>
    </xf>
    <xf numFmtId="0" fontId="19" fillId="2" borderId="35" xfId="0" applyFont="1" applyFill="1" applyBorder="1" applyAlignment="1" applyProtection="1">
      <alignment horizontal="center" vertical="center" wrapText="1"/>
      <protection hidden="1"/>
    </xf>
    <xf numFmtId="0" fontId="19" fillId="2" borderId="18" xfId="0" applyFont="1" applyFill="1" applyBorder="1" applyAlignment="1" applyProtection="1">
      <alignment horizontal="center" vertical="center"/>
      <protection hidden="1"/>
    </xf>
    <xf numFmtId="0" fontId="19" fillId="2" borderId="22" xfId="0" applyFont="1" applyFill="1" applyBorder="1" applyAlignment="1" applyProtection="1">
      <alignment horizontal="center" vertical="center"/>
      <protection hidden="1"/>
    </xf>
    <xf numFmtId="170" fontId="19" fillId="2" borderId="10" xfId="0" applyNumberFormat="1" applyFont="1" applyFill="1" applyBorder="1" applyAlignment="1" applyProtection="1">
      <alignment horizontal="center"/>
      <protection hidden="1"/>
    </xf>
    <xf numFmtId="168" fontId="19" fillId="2" borderId="10" xfId="0" applyNumberFormat="1" applyFont="1" applyFill="1" applyBorder="1" applyAlignment="1" applyProtection="1">
      <alignment horizontal="center"/>
      <protection hidden="1"/>
    </xf>
    <xf numFmtId="169" fontId="19" fillId="2" borderId="10" xfId="0" applyNumberFormat="1" applyFont="1" applyFill="1" applyBorder="1" applyAlignment="1" applyProtection="1">
      <alignment horizontal="center"/>
      <protection hidden="1"/>
    </xf>
    <xf numFmtId="169" fontId="19" fillId="2" borderId="10" xfId="0" applyNumberFormat="1" applyFont="1" applyFill="1" applyBorder="1" applyProtection="1">
      <protection hidden="1"/>
    </xf>
    <xf numFmtId="0" fontId="19" fillId="2" borderId="10" xfId="0" applyFont="1" applyFill="1" applyBorder="1" applyAlignment="1" applyProtection="1">
      <alignment horizontal="center"/>
      <protection hidden="1"/>
    </xf>
    <xf numFmtId="0" fontId="19" fillId="0" borderId="6" xfId="0" applyFont="1" applyBorder="1" applyProtection="1">
      <protection hidden="1"/>
    </xf>
    <xf numFmtId="0" fontId="19" fillId="2" borderId="6" xfId="0" applyFont="1" applyFill="1" applyBorder="1" applyProtection="1">
      <protection hidden="1"/>
    </xf>
    <xf numFmtId="169" fontId="19" fillId="2" borderId="31" xfId="0" applyNumberFormat="1" applyFont="1" applyFill="1" applyBorder="1" applyAlignment="1" applyProtection="1">
      <alignment horizontal="center"/>
      <protection hidden="1"/>
    </xf>
    <xf numFmtId="168" fontId="19" fillId="2" borderId="31" xfId="0" applyNumberFormat="1" applyFont="1" applyFill="1" applyBorder="1" applyAlignment="1" applyProtection="1">
      <alignment horizontal="center"/>
      <protection hidden="1"/>
    </xf>
    <xf numFmtId="0" fontId="19" fillId="0" borderId="22" xfId="0" applyFont="1" applyBorder="1" applyProtection="1">
      <protection hidden="1"/>
    </xf>
    <xf numFmtId="0" fontId="19" fillId="2" borderId="21" xfId="0" applyFont="1" applyFill="1" applyBorder="1" applyAlignment="1" applyProtection="1">
      <alignment horizontal="center"/>
      <protection hidden="1"/>
    </xf>
    <xf numFmtId="0" fontId="19" fillId="2" borderId="14" xfId="0" applyFont="1" applyFill="1" applyBorder="1" applyAlignment="1" applyProtection="1">
      <alignment horizontal="center"/>
      <protection hidden="1"/>
    </xf>
    <xf numFmtId="0" fontId="19" fillId="2" borderId="12" xfId="0" applyFont="1" applyFill="1" applyBorder="1" applyAlignment="1" applyProtection="1">
      <alignment horizontal="center"/>
      <protection hidden="1"/>
    </xf>
    <xf numFmtId="169" fontId="19" fillId="2" borderId="11" xfId="0" applyNumberFormat="1" applyFont="1" applyFill="1" applyBorder="1" applyAlignment="1" applyProtection="1">
      <alignment horizontal="center"/>
      <protection hidden="1"/>
    </xf>
    <xf numFmtId="168" fontId="19" fillId="2" borderId="11" xfId="0" applyNumberFormat="1" applyFont="1" applyFill="1" applyBorder="1" applyAlignment="1" applyProtection="1">
      <alignment horizontal="center"/>
      <protection hidden="1"/>
    </xf>
    <xf numFmtId="166" fontId="19" fillId="2" borderId="11" xfId="0" applyNumberFormat="1" applyFont="1" applyFill="1" applyBorder="1" applyAlignment="1" applyProtection="1">
      <alignment horizontal="center"/>
      <protection hidden="1"/>
    </xf>
    <xf numFmtId="165" fontId="19" fillId="2" borderId="11" xfId="0" applyNumberFormat="1" applyFont="1" applyFill="1" applyBorder="1" applyAlignment="1" applyProtection="1">
      <alignment horizontal="center"/>
      <protection hidden="1"/>
    </xf>
    <xf numFmtId="165" fontId="19" fillId="2" borderId="15" xfId="0" applyNumberFormat="1" applyFont="1" applyFill="1" applyBorder="1" applyAlignment="1" applyProtection="1">
      <alignment horizontal="center"/>
      <protection hidden="1"/>
    </xf>
    <xf numFmtId="168" fontId="19" fillId="6" borderId="0" xfId="0" applyNumberFormat="1" applyFont="1" applyFill="1" applyAlignment="1" applyProtection="1">
      <alignment horizontal="center"/>
      <protection hidden="1"/>
    </xf>
    <xf numFmtId="168" fontId="19" fillId="6" borderId="10" xfId="0" applyNumberFormat="1" applyFont="1" applyFill="1" applyBorder="1" applyAlignment="1" applyProtection="1">
      <alignment horizontal="center"/>
      <protection hidden="1"/>
    </xf>
    <xf numFmtId="168" fontId="19" fillId="6" borderId="17" xfId="0" applyNumberFormat="1" applyFont="1" applyFill="1" applyBorder="1" applyAlignment="1" applyProtection="1">
      <alignment horizontal="center"/>
      <protection hidden="1"/>
    </xf>
    <xf numFmtId="0" fontId="19" fillId="2" borderId="17" xfId="0" applyFont="1" applyFill="1" applyBorder="1" applyAlignment="1" applyProtection="1">
      <alignment horizontal="center"/>
      <protection hidden="1"/>
    </xf>
    <xf numFmtId="0" fontId="19" fillId="2" borderId="27" xfId="0" applyFont="1" applyFill="1" applyBorder="1" applyAlignment="1" applyProtection="1">
      <alignment horizontal="center"/>
      <protection hidden="1"/>
    </xf>
    <xf numFmtId="169" fontId="19" fillId="5" borderId="27" xfId="0" applyNumberFormat="1" applyFont="1" applyFill="1" applyBorder="1" applyAlignment="1" applyProtection="1">
      <alignment horizontal="center"/>
      <protection locked="0"/>
    </xf>
    <xf numFmtId="167" fontId="19" fillId="5" borderId="27" xfId="0" applyNumberFormat="1" applyFont="1" applyFill="1" applyBorder="1" applyAlignment="1" applyProtection="1">
      <alignment horizontal="center"/>
      <protection locked="0"/>
    </xf>
    <xf numFmtId="170" fontId="19" fillId="2" borderId="27" xfId="0" applyNumberFormat="1" applyFont="1" applyFill="1" applyBorder="1" applyAlignment="1" applyProtection="1">
      <alignment horizontal="center"/>
      <protection hidden="1"/>
    </xf>
    <xf numFmtId="168" fontId="19" fillId="2" borderId="27" xfId="0" applyNumberFormat="1" applyFont="1" applyFill="1" applyBorder="1" applyAlignment="1" applyProtection="1">
      <alignment horizontal="center"/>
      <protection hidden="1"/>
    </xf>
    <xf numFmtId="169" fontId="19" fillId="2" borderId="27" xfId="0" applyNumberFormat="1" applyFont="1" applyFill="1" applyBorder="1" applyAlignment="1" applyProtection="1">
      <alignment horizontal="center"/>
      <protection hidden="1"/>
    </xf>
    <xf numFmtId="169" fontId="19" fillId="2" borderId="27" xfId="0" applyNumberFormat="1" applyFont="1" applyFill="1" applyBorder="1" applyProtection="1">
      <protection hidden="1"/>
    </xf>
    <xf numFmtId="169" fontId="19" fillId="2" borderId="28" xfId="0" applyNumberFormat="1" applyFont="1" applyFill="1" applyBorder="1" applyProtection="1">
      <protection hidden="1"/>
    </xf>
    <xf numFmtId="169" fontId="19" fillId="2" borderId="17" xfId="0" applyNumberFormat="1" applyFont="1" applyFill="1" applyBorder="1" applyAlignment="1" applyProtection="1">
      <alignment horizontal="center"/>
      <protection hidden="1"/>
    </xf>
    <xf numFmtId="168" fontId="19" fillId="2" borderId="17" xfId="0" applyNumberFormat="1" applyFont="1" applyFill="1" applyBorder="1" applyAlignment="1" applyProtection="1">
      <alignment horizontal="center"/>
      <protection hidden="1"/>
    </xf>
    <xf numFmtId="169" fontId="19" fillId="2" borderId="15" xfId="0" applyNumberFormat="1" applyFont="1" applyFill="1" applyBorder="1" applyAlignment="1" applyProtection="1">
      <alignment horizontal="center"/>
      <protection hidden="1"/>
    </xf>
    <xf numFmtId="0" fontId="19" fillId="2" borderId="11" xfId="0" applyFont="1" applyFill="1" applyBorder="1" applyAlignment="1" applyProtection="1">
      <alignment horizontal="center"/>
      <protection hidden="1"/>
    </xf>
    <xf numFmtId="169" fontId="19" fillId="2" borderId="12" xfId="0" applyNumberFormat="1" applyFont="1" applyFill="1" applyBorder="1" applyAlignment="1" applyProtection="1">
      <alignment horizontal="center"/>
      <protection hidden="1"/>
    </xf>
    <xf numFmtId="49" fontId="19" fillId="2" borderId="41" xfId="0" applyNumberFormat="1" applyFont="1" applyFill="1" applyBorder="1" applyProtection="1">
      <protection hidden="1"/>
    </xf>
    <xf numFmtId="49" fontId="19" fillId="2" borderId="5" xfId="0" applyNumberFormat="1" applyFont="1" applyFill="1" applyBorder="1" applyProtection="1">
      <protection hidden="1"/>
    </xf>
    <xf numFmtId="169" fontId="19" fillId="6" borderId="27" xfId="0" applyNumberFormat="1" applyFont="1" applyFill="1" applyBorder="1" applyAlignment="1" applyProtection="1">
      <alignment horizontal="center"/>
      <protection locked="0"/>
    </xf>
    <xf numFmtId="167" fontId="19" fillId="6" borderId="27" xfId="0" applyNumberFormat="1" applyFont="1" applyFill="1" applyBorder="1" applyAlignment="1" applyProtection="1">
      <alignment horizontal="center"/>
      <protection locked="0"/>
    </xf>
    <xf numFmtId="0" fontId="19" fillId="6" borderId="27" xfId="0" applyFont="1" applyFill="1" applyBorder="1" applyAlignment="1" applyProtection="1">
      <alignment horizontal="center"/>
      <protection locked="0" hidden="1"/>
    </xf>
    <xf numFmtId="169" fontId="19" fillId="6" borderId="10" xfId="0" applyNumberFormat="1" applyFont="1" applyFill="1" applyBorder="1" applyAlignment="1" applyProtection="1">
      <alignment horizontal="center"/>
      <protection locked="0"/>
    </xf>
    <xf numFmtId="167" fontId="19" fillId="6" borderId="10" xfId="0" applyNumberFormat="1" applyFont="1" applyFill="1" applyBorder="1" applyAlignment="1" applyProtection="1">
      <alignment horizontal="center"/>
      <protection locked="0"/>
    </xf>
    <xf numFmtId="0" fontId="19" fillId="6" borderId="10" xfId="0" applyFont="1" applyFill="1" applyBorder="1" applyAlignment="1" applyProtection="1">
      <alignment horizontal="center"/>
      <protection locked="0" hidden="1"/>
    </xf>
    <xf numFmtId="0" fontId="19" fillId="6" borderId="10" xfId="0" applyFont="1" applyFill="1" applyBorder="1" applyProtection="1">
      <protection hidden="1"/>
    </xf>
    <xf numFmtId="0" fontId="19" fillId="6" borderId="17" xfId="0" applyFont="1" applyFill="1" applyBorder="1" applyAlignment="1" applyProtection="1">
      <alignment horizontal="center"/>
      <protection hidden="1"/>
    </xf>
    <xf numFmtId="0" fontId="18" fillId="5" borderId="0" xfId="0" applyFont="1" applyFill="1" applyAlignment="1" applyProtection="1">
      <alignment horizontal="left" vertical="top" wrapText="1"/>
      <protection locked="0" hidden="1"/>
    </xf>
    <xf numFmtId="0" fontId="18" fillId="5" borderId="1" xfId="0" applyFont="1" applyFill="1" applyBorder="1" applyAlignment="1" applyProtection="1">
      <alignment horizontal="left" vertical="top" wrapText="1"/>
      <protection locked="0" hidden="1"/>
    </xf>
    <xf numFmtId="0" fontId="18" fillId="5" borderId="0" xfId="0" applyFont="1" applyFill="1" applyAlignment="1" applyProtection="1">
      <alignment horizontal="left" wrapText="1"/>
      <protection locked="0" hidden="1"/>
    </xf>
    <xf numFmtId="0" fontId="18" fillId="5" borderId="1" xfId="0" applyFont="1" applyFill="1" applyBorder="1" applyAlignment="1" applyProtection="1">
      <alignment horizontal="left" wrapText="1"/>
      <protection locked="0" hidden="1"/>
    </xf>
    <xf numFmtId="0" fontId="19" fillId="6" borderId="5" xfId="0" applyFont="1" applyFill="1" applyBorder="1" applyProtection="1">
      <protection locked="0" hidden="1"/>
    </xf>
    <xf numFmtId="0" fontId="19" fillId="6" borderId="0" xfId="0" applyFont="1" applyFill="1" applyProtection="1">
      <protection hidden="1"/>
    </xf>
    <xf numFmtId="0" fontId="19" fillId="6" borderId="5" xfId="0" applyFont="1" applyFill="1" applyBorder="1" applyProtection="1">
      <protection hidden="1"/>
    </xf>
    <xf numFmtId="0" fontId="18" fillId="6" borderId="5" xfId="0" applyFont="1" applyFill="1" applyBorder="1" applyProtection="1">
      <protection hidden="1"/>
    </xf>
    <xf numFmtId="0" fontId="19" fillId="6" borderId="18" xfId="0" applyFont="1" applyFill="1" applyBorder="1" applyProtection="1">
      <protection hidden="1"/>
    </xf>
    <xf numFmtId="0" fontId="19" fillId="6" borderId="17" xfId="0" applyFont="1" applyFill="1" applyBorder="1" applyProtection="1">
      <protection hidden="1"/>
    </xf>
    <xf numFmtId="2" fontId="18" fillId="6" borderId="7" xfId="0" applyNumberFormat="1" applyFont="1" applyFill="1" applyBorder="1" applyAlignment="1" applyProtection="1">
      <alignment horizontal="center"/>
      <protection locked="0" hidden="1"/>
    </xf>
    <xf numFmtId="0" fontId="19" fillId="6" borderId="21" xfId="0" applyFont="1" applyFill="1" applyBorder="1" applyAlignment="1" applyProtection="1">
      <alignment horizontal="right" vertical="center"/>
      <protection locked="0" hidden="1"/>
    </xf>
    <xf numFmtId="0" fontId="19" fillId="6" borderId="14" xfId="0" applyFont="1" applyFill="1" applyBorder="1" applyAlignment="1" applyProtection="1">
      <alignment horizontal="right" vertical="center"/>
      <protection hidden="1"/>
    </xf>
    <xf numFmtId="0" fontId="18" fillId="6" borderId="35" xfId="0" applyFont="1" applyFill="1" applyBorder="1" applyAlignment="1" applyProtection="1">
      <alignment horizontal="center"/>
      <protection locked="0" hidden="1"/>
    </xf>
    <xf numFmtId="2" fontId="18" fillId="6" borderId="39" xfId="0" applyNumberFormat="1" applyFont="1" applyFill="1" applyBorder="1" applyAlignment="1" applyProtection="1">
      <alignment horizontal="center"/>
      <protection locked="0" hidden="1"/>
    </xf>
    <xf numFmtId="2" fontId="18" fillId="6" borderId="38" xfId="0" applyNumberFormat="1" applyFont="1" applyFill="1" applyBorder="1" applyAlignment="1" applyProtection="1">
      <alignment horizontal="center"/>
      <protection locked="0" hidden="1"/>
    </xf>
    <xf numFmtId="0" fontId="19" fillId="6" borderId="0" xfId="0" applyFont="1" applyFill="1" applyProtection="1">
      <protection locked="0" hidden="1"/>
    </xf>
    <xf numFmtId="0" fontId="19" fillId="6" borderId="0" xfId="0" applyFont="1" applyFill="1" applyAlignment="1" applyProtection="1">
      <alignment horizontal="left"/>
      <protection locked="0"/>
    </xf>
    <xf numFmtId="0" fontId="19" fillId="6" borderId="21" xfId="0" applyFont="1" applyFill="1" applyBorder="1" applyAlignment="1" applyProtection="1">
      <alignment horizontal="right"/>
      <protection locked="0" hidden="1"/>
    </xf>
    <xf numFmtId="0" fontId="19" fillId="6" borderId="14" xfId="0" applyFont="1" applyFill="1" applyBorder="1" applyAlignment="1" applyProtection="1">
      <alignment horizontal="right"/>
      <protection hidden="1"/>
    </xf>
    <xf numFmtId="167" fontId="19" fillId="2" borderId="0" xfId="0" applyNumberFormat="1" applyFont="1" applyFill="1" applyBorder="1" applyProtection="1">
      <protection hidden="1"/>
    </xf>
    <xf numFmtId="0" fontId="18" fillId="2" borderId="67" xfId="0" applyFont="1" applyFill="1" applyBorder="1" applyAlignment="1" applyProtection="1">
      <alignment horizontal="center" vertical="center"/>
      <protection hidden="1"/>
    </xf>
    <xf numFmtId="0" fontId="18" fillId="2" borderId="57" xfId="0" applyFont="1" applyFill="1" applyBorder="1" applyAlignment="1" applyProtection="1">
      <alignment horizontal="center" vertical="center"/>
      <protection hidden="1"/>
    </xf>
    <xf numFmtId="0" fontId="26" fillId="2" borderId="57" xfId="0" applyFont="1" applyFill="1" applyBorder="1" applyAlignment="1" applyProtection="1">
      <alignment horizontal="center" vertical="center" wrapText="1"/>
      <protection hidden="1"/>
    </xf>
    <xf numFmtId="0" fontId="30" fillId="2" borderId="57" xfId="0" applyFont="1" applyFill="1" applyBorder="1" applyAlignment="1" applyProtection="1">
      <alignment horizontal="center" vertical="center" wrapText="1"/>
      <protection hidden="1"/>
    </xf>
    <xf numFmtId="0" fontId="18" fillId="2" borderId="18" xfId="0" applyFont="1" applyFill="1" applyBorder="1" applyAlignment="1" applyProtection="1">
      <alignment horizontal="center" vertical="center"/>
      <protection hidden="1"/>
    </xf>
    <xf numFmtId="0" fontId="18" fillId="2" borderId="22" xfId="0" applyFont="1" applyFill="1" applyBorder="1" applyAlignment="1" applyProtection="1">
      <alignment horizontal="center" vertical="center"/>
      <protection hidden="1"/>
    </xf>
    <xf numFmtId="0" fontId="18" fillId="2" borderId="24" xfId="0" applyFont="1" applyFill="1" applyBorder="1" applyAlignment="1" applyProtection="1">
      <alignment horizontal="center" vertical="center" wrapText="1"/>
      <protection hidden="1"/>
    </xf>
    <xf numFmtId="0" fontId="18" fillId="2" borderId="23" xfId="0" applyFont="1" applyFill="1" applyBorder="1" applyAlignment="1" applyProtection="1">
      <alignment horizontal="center" vertical="center" wrapText="1"/>
      <protection hidden="1"/>
    </xf>
    <xf numFmtId="0" fontId="26" fillId="2" borderId="17" xfId="0" applyFont="1" applyFill="1" applyBorder="1" applyAlignment="1" applyProtection="1">
      <alignment horizontal="center" vertical="center" wrapText="1"/>
      <protection hidden="1"/>
    </xf>
    <xf numFmtId="0" fontId="30" fillId="2" borderId="19" xfId="0" applyFont="1" applyFill="1" applyBorder="1" applyAlignment="1" applyProtection="1">
      <alignment horizontal="center" vertical="center" wrapText="1"/>
      <protection hidden="1"/>
    </xf>
    <xf numFmtId="0" fontId="18" fillId="2" borderId="69" xfId="0" applyFont="1" applyFill="1" applyBorder="1" applyAlignment="1" applyProtection="1">
      <alignment horizontal="center" vertical="center"/>
      <protection hidden="1"/>
    </xf>
    <xf numFmtId="0" fontId="19" fillId="5" borderId="41" xfId="0" applyFont="1" applyFill="1" applyBorder="1" applyProtection="1">
      <protection locked="0"/>
    </xf>
    <xf numFmtId="0" fontId="19" fillId="5" borderId="27" xfId="0" applyFont="1" applyFill="1" applyBorder="1" applyAlignment="1" applyProtection="1">
      <alignment horizontal="center"/>
      <protection locked="0"/>
    </xf>
    <xf numFmtId="168" fontId="19" fillId="5" borderId="27" xfId="0" applyNumberFormat="1" applyFont="1" applyFill="1" applyBorder="1" applyAlignment="1" applyProtection="1">
      <alignment horizontal="center"/>
      <protection locked="0" hidden="1"/>
    </xf>
    <xf numFmtId="169" fontId="19" fillId="2" borderId="28" xfId="0" applyNumberFormat="1" applyFont="1" applyFill="1" applyBorder="1" applyAlignment="1" applyProtection="1">
      <alignment horizontal="center"/>
      <protection hidden="1"/>
    </xf>
    <xf numFmtId="0" fontId="19" fillId="2" borderId="25" xfId="0" applyFont="1" applyFill="1" applyBorder="1" applyAlignment="1" applyProtection="1">
      <alignment horizontal="center"/>
      <protection hidden="1"/>
    </xf>
    <xf numFmtId="0" fontId="19" fillId="6" borderId="5" xfId="0" applyFont="1" applyFill="1" applyBorder="1" applyAlignment="1" applyProtection="1">
      <alignment horizontal="center"/>
      <protection hidden="1"/>
    </xf>
    <xf numFmtId="0" fontId="19" fillId="6" borderId="10" xfId="0" applyFont="1" applyFill="1" applyBorder="1" applyAlignment="1" applyProtection="1">
      <alignment horizontal="center"/>
      <protection hidden="1"/>
    </xf>
    <xf numFmtId="0" fontId="19" fillId="6" borderId="10" xfId="0" applyFont="1" applyFill="1" applyBorder="1" applyAlignment="1" applyProtection="1">
      <alignment horizontal="left"/>
      <protection hidden="1"/>
    </xf>
    <xf numFmtId="170" fontId="19" fillId="2" borderId="31" xfId="0" applyNumberFormat="1" applyFont="1" applyFill="1" applyBorder="1" applyAlignment="1" applyProtection="1">
      <alignment horizontal="center"/>
      <protection hidden="1"/>
    </xf>
    <xf numFmtId="170" fontId="19" fillId="2" borderId="17" xfId="0" applyNumberFormat="1" applyFont="1" applyFill="1" applyBorder="1" applyAlignment="1" applyProtection="1">
      <alignment horizontal="center"/>
      <protection hidden="1"/>
    </xf>
    <xf numFmtId="0" fontId="18" fillId="2" borderId="67" xfId="0" applyFont="1" applyFill="1" applyBorder="1" applyAlignment="1" applyProtection="1">
      <alignment horizontal="center" vertical="center"/>
      <protection hidden="1"/>
    </xf>
    <xf numFmtId="0" fontId="18" fillId="2" borderId="57" xfId="0" applyFont="1" applyFill="1" applyBorder="1" applyAlignment="1" applyProtection="1">
      <alignment horizontal="center" vertical="center"/>
      <protection hidden="1"/>
    </xf>
    <xf numFmtId="0" fontId="30" fillId="2" borderId="57" xfId="0" applyFont="1" applyFill="1" applyBorder="1" applyAlignment="1" applyProtection="1">
      <alignment horizontal="center" vertical="center" wrapText="1"/>
      <protection hidden="1"/>
    </xf>
    <xf numFmtId="0" fontId="18" fillId="2" borderId="57" xfId="0" applyFont="1" applyFill="1" applyBorder="1" applyAlignment="1" applyProtection="1">
      <alignment horizontal="center" vertical="center" wrapText="1"/>
      <protection hidden="1"/>
    </xf>
    <xf numFmtId="0" fontId="18" fillId="2" borderId="35" xfId="0" applyFont="1" applyFill="1" applyBorder="1" applyAlignment="1" applyProtection="1">
      <alignment horizontal="center" wrapText="1"/>
      <protection hidden="1"/>
    </xf>
    <xf numFmtId="0" fontId="18" fillId="2" borderId="70" xfId="0" applyFont="1" applyFill="1" applyBorder="1" applyAlignment="1" applyProtection="1">
      <alignment horizontal="center" vertical="center"/>
      <protection hidden="1"/>
    </xf>
    <xf numFmtId="0" fontId="18" fillId="2" borderId="71" xfId="0" applyFont="1" applyFill="1" applyBorder="1" applyAlignment="1" applyProtection="1">
      <alignment horizontal="center" vertical="center"/>
      <protection hidden="1"/>
    </xf>
    <xf numFmtId="0" fontId="18" fillId="2" borderId="50" xfId="0" applyFont="1" applyFill="1" applyBorder="1" applyAlignment="1" applyProtection="1">
      <alignment horizontal="center" vertical="center" wrapText="1"/>
      <protection hidden="1"/>
    </xf>
    <xf numFmtId="0" fontId="18" fillId="2" borderId="56" xfId="0" applyFont="1" applyFill="1" applyBorder="1" applyAlignment="1" applyProtection="1">
      <alignment horizontal="center" vertical="center" wrapText="1"/>
      <protection hidden="1"/>
    </xf>
    <xf numFmtId="0" fontId="26" fillId="2" borderId="57" xfId="0" applyFont="1" applyFill="1" applyBorder="1" applyAlignment="1" applyProtection="1">
      <alignment horizontal="center" vertical="center" wrapText="1"/>
      <protection hidden="1"/>
    </xf>
    <xf numFmtId="0" fontId="18" fillId="2" borderId="35" xfId="0" applyFont="1" applyFill="1" applyBorder="1" applyAlignment="1" applyProtection="1">
      <alignment horizontal="center" vertical="center" wrapText="1"/>
      <protection hidden="1"/>
    </xf>
    <xf numFmtId="0" fontId="19" fillId="2" borderId="41" xfId="0" applyFont="1" applyFill="1" applyBorder="1"/>
    <xf numFmtId="0" fontId="19" fillId="2" borderId="27" xfId="0" applyFont="1" applyFill="1" applyBorder="1" applyAlignment="1">
      <alignment horizontal="center"/>
    </xf>
    <xf numFmtId="0" fontId="19" fillId="6" borderId="31" xfId="0" applyFont="1" applyFill="1" applyBorder="1" applyProtection="1">
      <protection hidden="1"/>
    </xf>
    <xf numFmtId="0" fontId="19" fillId="2" borderId="20" xfId="0" applyFont="1" applyFill="1" applyBorder="1"/>
    <xf numFmtId="0" fontId="19" fillId="2" borderId="31" xfId="0" applyFont="1" applyFill="1" applyBorder="1" applyAlignment="1">
      <alignment horizontal="center"/>
    </xf>
    <xf numFmtId="169" fontId="19" fillId="2" borderId="31" xfId="0" applyNumberFormat="1" applyFont="1" applyFill="1" applyBorder="1" applyProtection="1">
      <protection hidden="1"/>
    </xf>
  </cellXfs>
  <cellStyles count="8">
    <cellStyle name="Hiperlink" xfId="1" builtinId="8"/>
    <cellStyle name="Normal" xfId="0" builtinId="0"/>
    <cellStyle name="Normal 2" xfId="2" xr:uid="{00000000-0005-0000-0000-000003000000}"/>
    <cellStyle name="Normal 2 2" xfId="3" xr:uid="{00000000-0005-0000-0000-000004000000}"/>
    <cellStyle name="Normal 3" xfId="4" xr:uid="{00000000-0005-0000-0000-000005000000}"/>
    <cellStyle name="Normal 4" xfId="5" xr:uid="{00000000-0005-0000-0000-000006000000}"/>
    <cellStyle name="Separador de milhares 2" xfId="6" xr:uid="{00000000-0005-0000-0000-000007000000}"/>
    <cellStyle name="Vírgula" xfId="7" builtinId="3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3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110657</xdr:rowOff>
    </xdr:from>
    <xdr:to>
      <xdr:col>3</xdr:col>
      <xdr:colOff>346710</xdr:colOff>
      <xdr:row>3</xdr:row>
      <xdr:rowOff>117942</xdr:rowOff>
    </xdr:to>
    <xdr:pic>
      <xdr:nvPicPr>
        <xdr:cNvPr id="3427" name="Imagem 1">
          <a:extLst>
            <a:ext uri="{FF2B5EF4-FFF2-40B4-BE49-F238E27FC236}">
              <a16:creationId xmlns:a16="http://schemas.microsoft.com/office/drawing/2014/main" id="{B5372C43-FD1A-48CF-B22C-512DDF888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272582"/>
          <a:ext cx="2080260" cy="331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166901</xdr:rowOff>
    </xdr:from>
    <xdr:to>
      <xdr:col>19</xdr:col>
      <xdr:colOff>38100</xdr:colOff>
      <xdr:row>16</xdr:row>
      <xdr:rowOff>91554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A25CABE-99B6-44C3-A120-298F4EDDB3EC}"/>
            </a:ext>
          </a:extLst>
        </xdr:cNvPr>
        <xdr:cNvSpPr txBox="1"/>
      </xdr:nvSpPr>
      <xdr:spPr>
        <a:xfrm>
          <a:off x="0" y="2009349"/>
          <a:ext cx="8715801" cy="7776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did attend the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afore mentioned vessel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ascertain the quantities of bunkering supplied and to compare it with vessel´s and barge records in order to make sure about the quantities received,</a:t>
          </a:r>
        </a:p>
      </xdr:txBody>
    </xdr:sp>
    <xdr:clientData/>
  </xdr:twoCellAnchor>
  <xdr:twoCellAnchor editAs="oneCell">
    <xdr:from>
      <xdr:col>10</xdr:col>
      <xdr:colOff>238125</xdr:colOff>
      <xdr:row>86</xdr:row>
      <xdr:rowOff>152399</xdr:rowOff>
    </xdr:from>
    <xdr:to>
      <xdr:col>10</xdr:col>
      <xdr:colOff>1552374</xdr:colOff>
      <xdr:row>93</xdr:row>
      <xdr:rowOff>166772</xdr:rowOff>
    </xdr:to>
    <xdr:pic>
      <xdr:nvPicPr>
        <xdr:cNvPr id="4" name="Imagem 3" descr="Uma imagem contendo Texto&#10;&#10;Descrição gerada automaticamente">
          <a:extLst>
            <a:ext uri="{FF2B5EF4-FFF2-40B4-BE49-F238E27FC236}">
              <a16:creationId xmlns:a16="http://schemas.microsoft.com/office/drawing/2014/main" id="{4C547785-EBAF-7FDD-BC29-522873822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0325" y="10810874"/>
          <a:ext cx="1286527" cy="13201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100784</xdr:rowOff>
    </xdr:from>
    <xdr:to>
      <xdr:col>4</xdr:col>
      <xdr:colOff>151789</xdr:colOff>
      <xdr:row>3</xdr:row>
      <xdr:rowOff>104716</xdr:rowOff>
    </xdr:to>
    <xdr:pic>
      <xdr:nvPicPr>
        <xdr:cNvPr id="4439" name="Imagem 1">
          <a:extLst>
            <a:ext uri="{FF2B5EF4-FFF2-40B4-BE49-F238E27FC236}">
              <a16:creationId xmlns:a16="http://schemas.microsoft.com/office/drawing/2014/main" id="{05B7A527-878F-4D8C-8A2E-DE40F7782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575" y="262709"/>
          <a:ext cx="2059200" cy="327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361950</xdr:colOff>
      <xdr:row>67</xdr:row>
      <xdr:rowOff>47625</xdr:rowOff>
    </xdr:from>
    <xdr:to>
      <xdr:col>11</xdr:col>
      <xdr:colOff>248302</xdr:colOff>
      <xdr:row>75</xdr:row>
      <xdr:rowOff>53341</xdr:rowOff>
    </xdr:to>
    <xdr:pic>
      <xdr:nvPicPr>
        <xdr:cNvPr id="2" name="Imagem 1" descr="Uma imagem contendo Texto&#10;&#10;Descrição gerada automaticamente">
          <a:extLst>
            <a:ext uri="{FF2B5EF4-FFF2-40B4-BE49-F238E27FC236}">
              <a16:creationId xmlns:a16="http://schemas.microsoft.com/office/drawing/2014/main" id="{9D1CF805-C3A4-4B10-94DF-E99E11C28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0" y="8486775"/>
          <a:ext cx="1286527" cy="1320165"/>
        </a:xfrm>
        <a:prstGeom prst="rect">
          <a:avLst/>
        </a:prstGeom>
      </xdr:spPr>
    </xdr:pic>
    <xdr:clientData/>
  </xdr:twoCellAnchor>
  <xdr:twoCellAnchor editAs="oneCell">
    <xdr:from>
      <xdr:col>34</xdr:col>
      <xdr:colOff>441994</xdr:colOff>
      <xdr:row>10</xdr:row>
      <xdr:rowOff>36764</xdr:rowOff>
    </xdr:from>
    <xdr:to>
      <xdr:col>42</xdr:col>
      <xdr:colOff>223915</xdr:colOff>
      <xdr:row>42</xdr:row>
      <xdr:rowOff>174441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A5BF2E-ACD9-5D57-4409-7AE115922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12941" y="1694448"/>
          <a:ext cx="4808447" cy="5832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116255</xdr:rowOff>
    </xdr:from>
    <xdr:to>
      <xdr:col>2</xdr:col>
      <xdr:colOff>888664</xdr:colOff>
      <xdr:row>3</xdr:row>
      <xdr:rowOff>121869</xdr:rowOff>
    </xdr:to>
    <xdr:pic>
      <xdr:nvPicPr>
        <xdr:cNvPr id="1251" name="Imagem 1">
          <a:extLst>
            <a:ext uri="{FF2B5EF4-FFF2-40B4-BE49-F238E27FC236}">
              <a16:creationId xmlns:a16="http://schemas.microsoft.com/office/drawing/2014/main" id="{2A137F5C-2169-4738-AC49-167D123C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8101" y="278180"/>
          <a:ext cx="2069763" cy="329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352425</xdr:colOff>
      <xdr:row>45</xdr:row>
      <xdr:rowOff>133350</xdr:rowOff>
    </xdr:from>
    <xdr:to>
      <xdr:col>9</xdr:col>
      <xdr:colOff>1029352</xdr:colOff>
      <xdr:row>53</xdr:row>
      <xdr:rowOff>158115</xdr:rowOff>
    </xdr:to>
    <xdr:pic>
      <xdr:nvPicPr>
        <xdr:cNvPr id="2" name="Imagem 1" descr="Uma imagem contendo Texto&#10;&#10;Descrição gerada automaticamente">
          <a:extLst>
            <a:ext uri="{FF2B5EF4-FFF2-40B4-BE49-F238E27FC236}">
              <a16:creationId xmlns:a16="http://schemas.microsoft.com/office/drawing/2014/main" id="{9F6CC5D3-44DC-43F6-8EA4-A133BA0C3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5" y="7419975"/>
          <a:ext cx="1286527" cy="13201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174237</xdr:rowOff>
    </xdr:from>
    <xdr:to>
      <xdr:col>3</xdr:col>
      <xdr:colOff>85725</xdr:colOff>
      <xdr:row>3</xdr:row>
      <xdr:rowOff>148880</xdr:rowOff>
    </xdr:to>
    <xdr:pic>
      <xdr:nvPicPr>
        <xdr:cNvPr id="8412" name="Imagem 1">
          <a:extLst>
            <a:ext uri="{FF2B5EF4-FFF2-40B4-BE49-F238E27FC236}">
              <a16:creationId xmlns:a16="http://schemas.microsoft.com/office/drawing/2014/main" id="{A4576630-9AEC-479C-9054-B122C0988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" y="336162"/>
          <a:ext cx="2114550" cy="3365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28</xdr:row>
      <xdr:rowOff>85725</xdr:rowOff>
    </xdr:from>
    <xdr:to>
      <xdr:col>10</xdr:col>
      <xdr:colOff>429277</xdr:colOff>
      <xdr:row>36</xdr:row>
      <xdr:rowOff>100965</xdr:rowOff>
    </xdr:to>
    <xdr:pic>
      <xdr:nvPicPr>
        <xdr:cNvPr id="3" name="Imagem 2" descr="Uma imagem contendo Texto&#10;&#10;Descrição gerada automaticamente">
          <a:extLst>
            <a:ext uri="{FF2B5EF4-FFF2-40B4-BE49-F238E27FC236}">
              <a16:creationId xmlns:a16="http://schemas.microsoft.com/office/drawing/2014/main" id="{47AC47F7-9505-4D51-B186-FC272B776A2F}"/>
            </a:ext>
            <a:ext uri="{147F2762-F138-4A5C-976F-8EAC2B608ADB}">
              <a16:predDERef xmlns:a16="http://schemas.microsoft.com/office/drawing/2014/main" pred="{AA7BC4B5-F5EA-4A0F-9A33-B1F93EFB7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0" y="4705350"/>
          <a:ext cx="1286527" cy="13201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</xdr:row>
      <xdr:rowOff>41627</xdr:rowOff>
    </xdr:from>
    <xdr:to>
      <xdr:col>3</xdr:col>
      <xdr:colOff>266700</xdr:colOff>
      <xdr:row>3</xdr:row>
      <xdr:rowOff>158484</xdr:rowOff>
    </xdr:to>
    <xdr:pic>
      <xdr:nvPicPr>
        <xdr:cNvPr id="10460" name="Imagem 1">
          <a:extLst>
            <a:ext uri="{FF2B5EF4-FFF2-40B4-BE49-F238E27FC236}">
              <a16:creationId xmlns:a16="http://schemas.microsoft.com/office/drawing/2014/main" id="{53AC6E55-93BB-42D5-B311-9297CD954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575" y="403577"/>
          <a:ext cx="1990725" cy="316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180975</xdr:colOff>
      <xdr:row>36</xdr:row>
      <xdr:rowOff>66675</xdr:rowOff>
    </xdr:from>
    <xdr:to>
      <xdr:col>8</xdr:col>
      <xdr:colOff>1467502</xdr:colOff>
      <xdr:row>43</xdr:row>
      <xdr:rowOff>53340</xdr:rowOff>
    </xdr:to>
    <xdr:pic>
      <xdr:nvPicPr>
        <xdr:cNvPr id="2" name="Imagem 1" descr="Uma imagem contendo Texto&#10;&#10;Descrição gerada automaticamente">
          <a:extLst>
            <a:ext uri="{FF2B5EF4-FFF2-40B4-BE49-F238E27FC236}">
              <a16:creationId xmlns:a16="http://schemas.microsoft.com/office/drawing/2014/main" id="{AAD85070-EF8A-4153-BB84-A1DF301C0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2175" y="6705600"/>
          <a:ext cx="1286527" cy="1320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6CF9B2-8B91-42E0-979C-74B5357535E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2d5f93b-64b0-472f-9427-2e3755c9ec8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urveyors@naabsa.com%20%7C%20Naabsa.com%20%7C%20TEL:%2055%2013%203394-065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6"/>
  <sheetViews>
    <sheetView showGridLines="0" tabSelected="1" topLeftCell="A48" zoomScale="67" zoomScaleNormal="100" zoomScaleSheetLayoutView="100" workbookViewId="0">
      <selection activeCell="D63" sqref="D63"/>
    </sheetView>
  </sheetViews>
  <sheetFormatPr defaultColWidth="9.109375" defaultRowHeight="13.8"/>
  <cols>
    <col min="1" max="1" width="9.21875" style="87" customWidth="1"/>
    <col min="2" max="2" width="8.5546875" style="87" customWidth="1"/>
    <col min="3" max="3" width="8.109375" style="87" customWidth="1"/>
    <col min="4" max="4" width="8.44140625" style="87" customWidth="1"/>
    <col min="5" max="5" width="10.44140625" style="87" customWidth="1"/>
    <col min="6" max="6" width="7.44140625" style="87" customWidth="1"/>
    <col min="7" max="7" width="10.5546875" style="87" customWidth="1"/>
    <col min="8" max="8" width="9.88671875" style="87" bestFit="1" customWidth="1"/>
    <col min="9" max="9" width="9.109375" style="87"/>
    <col min="10" max="10" width="10.77734375" style="87" customWidth="1"/>
    <col min="11" max="11" width="23.6640625" style="87" bestFit="1" customWidth="1"/>
    <col min="12" max="12" width="10.21875" style="87" customWidth="1"/>
    <col min="13" max="13" width="9.77734375" style="87" customWidth="1"/>
    <col min="14" max="17" width="9.109375" style="87" hidden="1" customWidth="1"/>
    <col min="18" max="18" width="12" style="87" hidden="1" customWidth="1"/>
    <col min="19" max="19" width="6.44140625" style="87" hidden="1" customWidth="1"/>
    <col min="20" max="20" width="6.5546875" style="87" customWidth="1"/>
    <col min="21" max="16384" width="9.109375" style="87"/>
  </cols>
  <sheetData>
    <row r="1" spans="1:20" ht="12.75" customHeight="1"/>
    <row r="2" spans="1:20" ht="12.75" customHeight="1">
      <c r="G2" s="255" t="s">
        <v>0</v>
      </c>
      <c r="H2" s="255"/>
      <c r="I2" s="255"/>
      <c r="J2" s="255"/>
      <c r="K2" s="255"/>
      <c r="L2" s="255"/>
      <c r="M2" s="255"/>
    </row>
    <row r="3" spans="1:20" ht="12.75" customHeight="1">
      <c r="G3" s="256" t="s">
        <v>1</v>
      </c>
      <c r="H3" s="256"/>
      <c r="I3" s="256"/>
      <c r="J3" s="256"/>
      <c r="K3" s="256"/>
      <c r="L3" s="256"/>
      <c r="M3" s="256"/>
    </row>
    <row r="4" spans="1:20" ht="12.75" customHeight="1">
      <c r="G4" s="257" t="s">
        <v>2</v>
      </c>
      <c r="H4" s="257"/>
      <c r="I4" s="257"/>
      <c r="J4" s="257"/>
      <c r="K4" s="257"/>
      <c r="L4" s="257"/>
      <c r="M4" s="257"/>
    </row>
    <row r="5" spans="1:20">
      <c r="A5" s="95"/>
      <c r="B5" s="95"/>
      <c r="C5" s="95"/>
      <c r="D5" s="95"/>
      <c r="E5" s="95"/>
      <c r="F5" s="95"/>
      <c r="G5" s="258"/>
      <c r="H5" s="258"/>
      <c r="I5" s="258"/>
      <c r="J5" s="258"/>
      <c r="K5" s="258"/>
      <c r="L5" s="171"/>
      <c r="M5" s="171"/>
      <c r="T5" s="108"/>
    </row>
    <row r="6" spans="1:20" ht="12.75" customHeight="1">
      <c r="A6" s="232" t="s">
        <v>3</v>
      </c>
      <c r="B6" s="232"/>
      <c r="C6" s="232"/>
      <c r="D6" s="232"/>
      <c r="E6" s="232"/>
      <c r="F6" s="232"/>
      <c r="G6" s="232"/>
      <c r="H6" s="232"/>
      <c r="I6" s="232"/>
      <c r="J6" s="232"/>
      <c r="K6" s="232"/>
      <c r="L6" s="86"/>
      <c r="M6" s="86"/>
    </row>
    <row r="8" spans="1:20">
      <c r="A8" s="87" t="s">
        <v>4</v>
      </c>
      <c r="C8" s="203" t="s">
        <v>5</v>
      </c>
      <c r="G8" s="87" t="s">
        <v>6</v>
      </c>
      <c r="H8" s="203"/>
      <c r="I8" s="87" t="s">
        <v>7</v>
      </c>
      <c r="L8" s="89"/>
      <c r="M8" s="89"/>
    </row>
    <row r="9" spans="1:20">
      <c r="G9" s="87" t="s">
        <v>8</v>
      </c>
      <c r="H9" s="203"/>
      <c r="I9" s="87" t="s">
        <v>9</v>
      </c>
      <c r="L9" s="89"/>
      <c r="M9" s="89"/>
    </row>
    <row r="10" spans="1:20" ht="15">
      <c r="A10" s="87" t="s">
        <v>10</v>
      </c>
      <c r="C10" s="204" t="s">
        <v>11</v>
      </c>
      <c r="D10" s="172"/>
      <c r="G10" s="87" t="s">
        <v>12</v>
      </c>
      <c r="H10" s="203"/>
      <c r="I10" s="87" t="s">
        <v>13</v>
      </c>
      <c r="L10" s="89"/>
      <c r="M10" s="89"/>
    </row>
    <row r="11" spans="1:20">
      <c r="C11" s="231"/>
      <c r="D11" s="231"/>
      <c r="G11" s="87" t="s">
        <v>14</v>
      </c>
      <c r="H11" s="203"/>
      <c r="I11" s="87" t="s">
        <v>15</v>
      </c>
      <c r="L11" s="89"/>
      <c r="M11" s="89"/>
    </row>
    <row r="12" spans="1:20">
      <c r="L12" s="89"/>
      <c r="M12" s="89"/>
    </row>
    <row r="17" spans="1:22" ht="14.4" thickBot="1">
      <c r="A17" s="95" t="s">
        <v>16</v>
      </c>
    </row>
    <row r="18" spans="1:22" ht="14.4" thickBot="1">
      <c r="A18" s="109" t="s">
        <v>17</v>
      </c>
      <c r="B18" s="205">
        <v>0</v>
      </c>
      <c r="C18" s="110" t="s">
        <v>18</v>
      </c>
      <c r="D18" s="111" t="s">
        <v>19</v>
      </c>
      <c r="E18" s="206">
        <v>0</v>
      </c>
      <c r="F18" s="112" t="s">
        <v>18</v>
      </c>
      <c r="G18" s="113" t="s">
        <v>20</v>
      </c>
      <c r="H18" s="207">
        <v>0</v>
      </c>
      <c r="I18" s="114" t="s">
        <v>21</v>
      </c>
      <c r="J18" s="115"/>
      <c r="K18" s="208" t="s">
        <v>22</v>
      </c>
      <c r="L18" s="247" t="s">
        <v>23</v>
      </c>
      <c r="M18" s="261"/>
    </row>
    <row r="19" spans="1:22">
      <c r="A19" s="259" t="s">
        <v>24</v>
      </c>
      <c r="B19" s="262" t="s">
        <v>25</v>
      </c>
      <c r="C19" s="266" t="s">
        <v>26</v>
      </c>
      <c r="D19" s="271" t="s">
        <v>27</v>
      </c>
      <c r="E19" s="267" t="s">
        <v>28</v>
      </c>
      <c r="F19" s="264" t="s">
        <v>29</v>
      </c>
      <c r="G19" s="265"/>
      <c r="H19" s="268" t="s">
        <v>30</v>
      </c>
      <c r="I19" s="270" t="s">
        <v>31</v>
      </c>
      <c r="J19" s="272" t="s">
        <v>32</v>
      </c>
      <c r="K19" s="269" t="s">
        <v>33</v>
      </c>
      <c r="L19" s="259" t="s">
        <v>34</v>
      </c>
      <c r="M19" s="260" t="s">
        <v>35</v>
      </c>
    </row>
    <row r="20" spans="1:22" ht="13.5" customHeight="1" thickBot="1">
      <c r="A20" s="411"/>
      <c r="B20" s="412"/>
      <c r="C20" s="413"/>
      <c r="D20" s="414"/>
      <c r="E20" s="267"/>
      <c r="F20" s="415" t="s">
        <v>36</v>
      </c>
      <c r="G20" s="416" t="s">
        <v>37</v>
      </c>
      <c r="H20" s="417"/>
      <c r="I20" s="418"/>
      <c r="J20" s="419"/>
      <c r="K20" s="420"/>
      <c r="L20" s="411"/>
      <c r="M20" s="421"/>
    </row>
    <row r="21" spans="1:22">
      <c r="A21" s="422" t="s">
        <v>38</v>
      </c>
      <c r="B21" s="423" t="s">
        <v>7</v>
      </c>
      <c r="C21" s="368">
        <v>0</v>
      </c>
      <c r="D21" s="369">
        <v>24</v>
      </c>
      <c r="E21" s="368">
        <v>0.2</v>
      </c>
      <c r="F21" s="224" t="s">
        <v>39</v>
      </c>
      <c r="G21" s="368">
        <v>0</v>
      </c>
      <c r="H21" s="370">
        <f t="shared" ref="H21:H41" si="0">IF(E21="","",E21-G21)</f>
        <v>0.2</v>
      </c>
      <c r="I21" s="371">
        <f t="shared" ref="I21:I41" si="1">IF(E21="","",S21)</f>
        <v>0.99380000000000002</v>
      </c>
      <c r="J21" s="424">
        <v>0.98619999999999997</v>
      </c>
      <c r="K21" s="372">
        <f>IF(E21="","",H21*I21)</f>
        <v>0.19876000000000002</v>
      </c>
      <c r="L21" s="372">
        <f t="shared" ref="L21:L41" si="2">IF(A21="","",ROUND(SUM(K21*J21),3))</f>
        <v>0.19600000000000001</v>
      </c>
      <c r="M21" s="425">
        <f>(J21-0.0011)*K21</f>
        <v>0.19579847600000003</v>
      </c>
      <c r="N21" s="116">
        <f t="shared" ref="N21:N32" si="3">D21-15</f>
        <v>9</v>
      </c>
      <c r="O21" s="87">
        <f t="shared" ref="O21:O32" si="4">J21*1000</f>
        <v>986.19999999999993</v>
      </c>
      <c r="P21" s="87">
        <f t="shared" ref="P21:P32" si="5">IF(J21&gt;0.8385,186.9696,IF(J21&gt;0.7875,594.5418,IF(J21&gt;0.77,2680.3206,346.4228)))</f>
        <v>186.96960000000001</v>
      </c>
      <c r="Q21" s="87">
        <f t="shared" ref="Q21:Q32" si="6">IF(J21&gt;0.8385,0.4862,IF(J21&gt;0.7875,0,IF(J21&gt;0.77,-0.00336312,0.4388)))</f>
        <v>0.48620000000000002</v>
      </c>
      <c r="R21" s="87">
        <f t="shared" ref="R21:R32" si="7">IF(OR(J21&gt;0.7876,J21=0.7876),(P21/O21^2)+(Q21/O21),IF(OR(J21&gt;0.7701,J21=0.7701),(P21/O21^2)+Q21,(P21/O21^2)+(Q21/O21)))</f>
        <v>6.8524222796185422E-4</v>
      </c>
      <c r="S21" s="117">
        <f t="shared" ref="S21:S32" si="8">ROUND(EXP(-R21*N21*(1+0.8*R21*N21)),4)</f>
        <v>0.99380000000000002</v>
      </c>
      <c r="V21" s="16"/>
    </row>
    <row r="22" spans="1:22">
      <c r="A22" s="209" t="s">
        <v>40</v>
      </c>
      <c r="B22" s="210" t="s">
        <v>7</v>
      </c>
      <c r="C22" s="211">
        <v>0</v>
      </c>
      <c r="D22" s="212">
        <v>24</v>
      </c>
      <c r="E22" s="211">
        <v>134.37</v>
      </c>
      <c r="F22" s="222" t="s">
        <v>39</v>
      </c>
      <c r="G22" s="211">
        <v>0</v>
      </c>
      <c r="H22" s="345">
        <f t="shared" si="0"/>
        <v>134.37</v>
      </c>
      <c r="I22" s="346">
        <f t="shared" si="1"/>
        <v>0.99380000000000002</v>
      </c>
      <c r="J22" s="213">
        <v>0.98619999999999997</v>
      </c>
      <c r="K22" s="347">
        <f t="shared" ref="K22:K41" si="9">IF(E22="","",H22*I22)</f>
        <v>133.53690600000002</v>
      </c>
      <c r="L22" s="347">
        <f t="shared" si="2"/>
        <v>131.69399999999999</v>
      </c>
      <c r="M22" s="118">
        <f t="shared" ref="M22:M41" si="10">(J22-0.0011)*K22</f>
        <v>131.54720610060002</v>
      </c>
      <c r="N22" s="116">
        <f t="shared" si="3"/>
        <v>9</v>
      </c>
      <c r="O22" s="87">
        <f t="shared" si="4"/>
        <v>986.19999999999993</v>
      </c>
      <c r="P22" s="87">
        <f t="shared" si="5"/>
        <v>186.96960000000001</v>
      </c>
      <c r="Q22" s="87">
        <f t="shared" si="6"/>
        <v>0.48620000000000002</v>
      </c>
      <c r="R22" s="87">
        <f t="shared" si="7"/>
        <v>6.8524222796185422E-4</v>
      </c>
      <c r="S22" s="117">
        <f t="shared" si="8"/>
        <v>0.99380000000000002</v>
      </c>
      <c r="V22" s="16"/>
    </row>
    <row r="23" spans="1:22">
      <c r="A23" s="209" t="s">
        <v>41</v>
      </c>
      <c r="B23" s="210" t="s">
        <v>7</v>
      </c>
      <c r="C23" s="211">
        <v>0</v>
      </c>
      <c r="D23" s="212">
        <v>24</v>
      </c>
      <c r="E23" s="211">
        <v>0.1</v>
      </c>
      <c r="F23" s="222" t="s">
        <v>39</v>
      </c>
      <c r="G23" s="211">
        <v>0</v>
      </c>
      <c r="H23" s="345">
        <f t="shared" si="0"/>
        <v>0.1</v>
      </c>
      <c r="I23" s="346">
        <f t="shared" si="1"/>
        <v>0.99380000000000002</v>
      </c>
      <c r="J23" s="213">
        <v>0.98960000000000004</v>
      </c>
      <c r="K23" s="347">
        <f t="shared" si="9"/>
        <v>9.938000000000001E-2</v>
      </c>
      <c r="L23" s="347">
        <f t="shared" si="2"/>
        <v>9.8000000000000004E-2</v>
      </c>
      <c r="M23" s="118">
        <f t="shared" si="10"/>
        <v>9.823713000000002E-2</v>
      </c>
      <c r="N23" s="116">
        <f t="shared" si="3"/>
        <v>9</v>
      </c>
      <c r="O23" s="119">
        <f t="shared" si="4"/>
        <v>989.6</v>
      </c>
      <c r="P23" s="87">
        <f t="shared" si="5"/>
        <v>186.96960000000001</v>
      </c>
      <c r="Q23" s="87">
        <f t="shared" si="6"/>
        <v>0.48620000000000002</v>
      </c>
      <c r="R23" s="87">
        <f t="shared" si="7"/>
        <v>6.8222970796036255E-4</v>
      </c>
      <c r="S23" s="117">
        <f t="shared" si="8"/>
        <v>0.99380000000000002</v>
      </c>
      <c r="V23" s="16"/>
    </row>
    <row r="24" spans="1:22">
      <c r="A24" s="209" t="s">
        <v>42</v>
      </c>
      <c r="B24" s="210" t="s">
        <v>7</v>
      </c>
      <c r="C24" s="211">
        <v>0</v>
      </c>
      <c r="D24" s="212">
        <v>24</v>
      </c>
      <c r="E24" s="211">
        <v>0.1</v>
      </c>
      <c r="F24" s="222" t="s">
        <v>39</v>
      </c>
      <c r="G24" s="211">
        <v>0</v>
      </c>
      <c r="H24" s="345">
        <f t="shared" si="0"/>
        <v>0.1</v>
      </c>
      <c r="I24" s="346">
        <f t="shared" si="1"/>
        <v>0.99380000000000002</v>
      </c>
      <c r="J24" s="213">
        <v>0.98960000000000004</v>
      </c>
      <c r="K24" s="347">
        <f t="shared" si="9"/>
        <v>9.938000000000001E-2</v>
      </c>
      <c r="L24" s="347">
        <f t="shared" si="2"/>
        <v>9.8000000000000004E-2</v>
      </c>
      <c r="M24" s="118">
        <f t="shared" si="10"/>
        <v>9.823713000000002E-2</v>
      </c>
      <c r="N24" s="116">
        <f t="shared" si="3"/>
        <v>9</v>
      </c>
      <c r="O24" s="87">
        <f t="shared" si="4"/>
        <v>989.6</v>
      </c>
      <c r="P24" s="87">
        <f t="shared" si="5"/>
        <v>186.96960000000001</v>
      </c>
      <c r="Q24" s="87">
        <f t="shared" si="6"/>
        <v>0.48620000000000002</v>
      </c>
      <c r="R24" s="87">
        <f t="shared" si="7"/>
        <v>6.8222970796036255E-4</v>
      </c>
      <c r="S24" s="117">
        <f t="shared" si="8"/>
        <v>0.99380000000000002</v>
      </c>
      <c r="V24" s="16"/>
    </row>
    <row r="25" spans="1:22">
      <c r="A25" s="209" t="s">
        <v>43</v>
      </c>
      <c r="B25" s="210" t="s">
        <v>7</v>
      </c>
      <c r="C25" s="211">
        <v>0</v>
      </c>
      <c r="D25" s="212">
        <v>24</v>
      </c>
      <c r="E25" s="211">
        <v>385.35</v>
      </c>
      <c r="F25" s="222" t="s">
        <v>39</v>
      </c>
      <c r="G25" s="211">
        <v>0</v>
      </c>
      <c r="H25" s="345">
        <f t="shared" si="0"/>
        <v>385.35</v>
      </c>
      <c r="I25" s="346">
        <f t="shared" si="1"/>
        <v>0.99380000000000002</v>
      </c>
      <c r="J25" s="213">
        <v>0.98619999999999997</v>
      </c>
      <c r="K25" s="347">
        <f t="shared" si="9"/>
        <v>382.96083000000004</v>
      </c>
      <c r="L25" s="347">
        <f t="shared" si="2"/>
        <v>377.67599999999999</v>
      </c>
      <c r="M25" s="118">
        <f t="shared" si="10"/>
        <v>377.25471363300005</v>
      </c>
      <c r="N25" s="116">
        <f t="shared" si="3"/>
        <v>9</v>
      </c>
      <c r="O25" s="87">
        <f t="shared" si="4"/>
        <v>986.19999999999993</v>
      </c>
      <c r="P25" s="87">
        <f t="shared" si="5"/>
        <v>186.96960000000001</v>
      </c>
      <c r="Q25" s="87">
        <f t="shared" si="6"/>
        <v>0.48620000000000002</v>
      </c>
      <c r="R25" s="87">
        <f t="shared" si="7"/>
        <v>6.8524222796185422E-4</v>
      </c>
      <c r="S25" s="117">
        <f t="shared" si="8"/>
        <v>0.99380000000000002</v>
      </c>
      <c r="V25" s="16"/>
    </row>
    <row r="26" spans="1:22">
      <c r="A26" s="209" t="s">
        <v>44</v>
      </c>
      <c r="B26" s="210" t="s">
        <v>7</v>
      </c>
      <c r="C26" s="211">
        <v>0</v>
      </c>
      <c r="D26" s="212">
        <v>24</v>
      </c>
      <c r="E26" s="211">
        <v>92.39</v>
      </c>
      <c r="F26" s="222" t="s">
        <v>39</v>
      </c>
      <c r="G26" s="211">
        <v>0</v>
      </c>
      <c r="H26" s="345">
        <f t="shared" si="0"/>
        <v>92.39</v>
      </c>
      <c r="I26" s="346">
        <f>IF(E26="","",S26)</f>
        <v>0.99380000000000002</v>
      </c>
      <c r="J26" s="213">
        <v>0.98619999999999997</v>
      </c>
      <c r="K26" s="347">
        <f>IF(E26="","",H26*I26)</f>
        <v>91.817182000000003</v>
      </c>
      <c r="L26" s="347">
        <f>IF(A26="","",ROUND(SUM(K26*J26),3))</f>
        <v>90.55</v>
      </c>
      <c r="M26" s="118">
        <f>(J26-0.0011)*K26</f>
        <v>90.449105988200003</v>
      </c>
      <c r="N26" s="116">
        <f t="shared" si="3"/>
        <v>9</v>
      </c>
      <c r="O26" s="87">
        <f>J26*1000</f>
        <v>986.19999999999993</v>
      </c>
      <c r="P26" s="87">
        <f>IF(J26&gt;0.8385,186.9696,IF(J26&gt;0.7875,594.5418,IF(J26&gt;0.77,2680.3206,346.4228)))</f>
        <v>186.96960000000001</v>
      </c>
      <c r="Q26" s="87">
        <f>IF(J26&gt;0.8385,0.4862,IF(J26&gt;0.7875,0,IF(J26&gt;0.77,-0.00336312,0.4388)))</f>
        <v>0.48620000000000002</v>
      </c>
      <c r="R26" s="87">
        <f>IF(OR(J26&gt;0.7876,J26=0.7876),(P26/O26^2)+(Q26/O26),IF(OR(J26&gt;0.7701,J26=0.7701),(P26/O26^2)+Q26,(P26/O26^2)+(Q26/O26)))</f>
        <v>6.8524222796185422E-4</v>
      </c>
      <c r="S26" s="117">
        <f t="shared" si="8"/>
        <v>0.99380000000000002</v>
      </c>
      <c r="V26" s="16"/>
    </row>
    <row r="27" spans="1:22">
      <c r="A27" s="209" t="s">
        <v>45</v>
      </c>
      <c r="B27" s="210" t="s">
        <v>7</v>
      </c>
      <c r="C27" s="211" t="s">
        <v>46</v>
      </c>
      <c r="D27" s="212">
        <v>75</v>
      </c>
      <c r="E27" s="211">
        <v>27</v>
      </c>
      <c r="F27" s="222" t="s">
        <v>39</v>
      </c>
      <c r="G27" s="211">
        <v>0</v>
      </c>
      <c r="H27" s="345">
        <f t="shared" si="0"/>
        <v>27</v>
      </c>
      <c r="I27" s="346">
        <f t="shared" si="1"/>
        <v>0.95840000000000003</v>
      </c>
      <c r="J27" s="213">
        <v>0.98619999999999997</v>
      </c>
      <c r="K27" s="347">
        <f t="shared" si="9"/>
        <v>25.876799999999999</v>
      </c>
      <c r="L27" s="347">
        <f t="shared" si="2"/>
        <v>25.52</v>
      </c>
      <c r="M27" s="118">
        <f t="shared" si="10"/>
        <v>25.491235679999999</v>
      </c>
      <c r="N27" s="116">
        <f t="shared" si="3"/>
        <v>60</v>
      </c>
      <c r="O27" s="87">
        <f t="shared" si="4"/>
        <v>986.19999999999993</v>
      </c>
      <c r="P27" s="87">
        <f t="shared" si="5"/>
        <v>186.96960000000001</v>
      </c>
      <c r="Q27" s="87">
        <f t="shared" si="6"/>
        <v>0.48620000000000002</v>
      </c>
      <c r="R27" s="87">
        <f t="shared" si="7"/>
        <v>6.8524222796185422E-4</v>
      </c>
      <c r="S27" s="117">
        <f t="shared" si="8"/>
        <v>0.95840000000000003</v>
      </c>
      <c r="V27" s="16"/>
    </row>
    <row r="28" spans="1:22">
      <c r="A28" s="209" t="s">
        <v>47</v>
      </c>
      <c r="B28" s="210" t="s">
        <v>7</v>
      </c>
      <c r="C28" s="211" t="s">
        <v>46</v>
      </c>
      <c r="D28" s="212">
        <v>75</v>
      </c>
      <c r="E28" s="211">
        <v>24</v>
      </c>
      <c r="F28" s="222" t="s">
        <v>39</v>
      </c>
      <c r="G28" s="211">
        <v>0</v>
      </c>
      <c r="H28" s="345">
        <f t="shared" si="0"/>
        <v>24</v>
      </c>
      <c r="I28" s="346">
        <f t="shared" si="1"/>
        <v>0.95840000000000003</v>
      </c>
      <c r="J28" s="213">
        <v>0.98619999999999997</v>
      </c>
      <c r="K28" s="347">
        <f t="shared" si="9"/>
        <v>23.0016</v>
      </c>
      <c r="L28" s="347">
        <f t="shared" si="2"/>
        <v>22.684000000000001</v>
      </c>
      <c r="M28" s="118">
        <f t="shared" si="10"/>
        <v>22.658876159999998</v>
      </c>
      <c r="N28" s="116">
        <f t="shared" si="3"/>
        <v>60</v>
      </c>
      <c r="O28" s="87">
        <f t="shared" si="4"/>
        <v>986.19999999999993</v>
      </c>
      <c r="P28" s="87">
        <f t="shared" si="5"/>
        <v>186.96960000000001</v>
      </c>
      <c r="Q28" s="87">
        <f t="shared" si="6"/>
        <v>0.48620000000000002</v>
      </c>
      <c r="R28" s="87">
        <f t="shared" si="7"/>
        <v>6.8524222796185422E-4</v>
      </c>
      <c r="S28" s="117">
        <f t="shared" si="8"/>
        <v>0.95840000000000003</v>
      </c>
      <c r="V28" s="16"/>
    </row>
    <row r="29" spans="1:22">
      <c r="A29" s="209" t="s">
        <v>45</v>
      </c>
      <c r="B29" s="210" t="s">
        <v>7</v>
      </c>
      <c r="C29" s="211" t="s">
        <v>46</v>
      </c>
      <c r="D29" s="212">
        <v>94</v>
      </c>
      <c r="E29" s="211">
        <v>24</v>
      </c>
      <c r="F29" s="222" t="s">
        <v>39</v>
      </c>
      <c r="G29" s="211">
        <v>0</v>
      </c>
      <c r="H29" s="345">
        <f t="shared" si="0"/>
        <v>24</v>
      </c>
      <c r="I29" s="346">
        <f t="shared" si="1"/>
        <v>0.94510000000000005</v>
      </c>
      <c r="J29" s="213">
        <v>0.98619999999999997</v>
      </c>
      <c r="K29" s="347">
        <f t="shared" si="9"/>
        <v>22.682400000000001</v>
      </c>
      <c r="L29" s="347">
        <f t="shared" si="2"/>
        <v>22.369</v>
      </c>
      <c r="M29" s="118">
        <f t="shared" si="10"/>
        <v>22.34443224</v>
      </c>
      <c r="N29" s="116">
        <f t="shared" si="3"/>
        <v>79</v>
      </c>
      <c r="O29" s="87">
        <f t="shared" si="4"/>
        <v>986.19999999999993</v>
      </c>
      <c r="P29" s="87">
        <f t="shared" si="5"/>
        <v>186.96960000000001</v>
      </c>
      <c r="Q29" s="87">
        <f t="shared" si="6"/>
        <v>0.48620000000000002</v>
      </c>
      <c r="R29" s="87">
        <f t="shared" si="7"/>
        <v>6.8524222796185422E-4</v>
      </c>
      <c r="S29" s="117">
        <f t="shared" si="8"/>
        <v>0.94510000000000005</v>
      </c>
      <c r="V29" s="16"/>
    </row>
    <row r="30" spans="1:22">
      <c r="A30" s="209" t="s">
        <v>47</v>
      </c>
      <c r="B30" s="210" t="s">
        <v>7</v>
      </c>
      <c r="C30" s="211" t="s">
        <v>46</v>
      </c>
      <c r="D30" s="212">
        <v>32</v>
      </c>
      <c r="E30" s="211">
        <v>0.1</v>
      </c>
      <c r="F30" s="222" t="s">
        <v>39</v>
      </c>
      <c r="G30" s="211">
        <v>0</v>
      </c>
      <c r="H30" s="345">
        <f t="shared" si="0"/>
        <v>0.1</v>
      </c>
      <c r="I30" s="346">
        <f t="shared" si="1"/>
        <v>0.98829999999999996</v>
      </c>
      <c r="J30" s="213">
        <v>0.98619999999999997</v>
      </c>
      <c r="K30" s="347">
        <f t="shared" si="9"/>
        <v>9.8830000000000001E-2</v>
      </c>
      <c r="L30" s="347">
        <f t="shared" si="2"/>
        <v>9.7000000000000003E-2</v>
      </c>
      <c r="M30" s="118">
        <f t="shared" si="10"/>
        <v>9.7357432999999993E-2</v>
      </c>
      <c r="N30" s="116">
        <f t="shared" si="3"/>
        <v>17</v>
      </c>
      <c r="O30" s="87">
        <f t="shared" si="4"/>
        <v>986.19999999999993</v>
      </c>
      <c r="P30" s="87">
        <f t="shared" si="5"/>
        <v>186.96960000000001</v>
      </c>
      <c r="Q30" s="87">
        <f t="shared" si="6"/>
        <v>0.48620000000000002</v>
      </c>
      <c r="R30" s="87">
        <f t="shared" si="7"/>
        <v>6.8524222796185422E-4</v>
      </c>
      <c r="S30" s="117">
        <f t="shared" si="8"/>
        <v>0.98829999999999996</v>
      </c>
      <c r="V30" s="16"/>
    </row>
    <row r="31" spans="1:22">
      <c r="A31" s="209" t="s">
        <v>48</v>
      </c>
      <c r="B31" s="210" t="s">
        <v>7</v>
      </c>
      <c r="C31" s="211" t="s">
        <v>46</v>
      </c>
      <c r="D31" s="212">
        <v>0</v>
      </c>
      <c r="E31" s="211">
        <v>0</v>
      </c>
      <c r="F31" s="222" t="s">
        <v>39</v>
      </c>
      <c r="G31" s="211">
        <v>0</v>
      </c>
      <c r="H31" s="345">
        <f t="shared" si="0"/>
        <v>0</v>
      </c>
      <c r="I31" s="346">
        <f>IF(E31="","",S31)</f>
        <v>1.0102</v>
      </c>
      <c r="J31" s="213">
        <v>0.99080000000000001</v>
      </c>
      <c r="K31" s="347">
        <f>IF(E31="","",H31*I31)</f>
        <v>0</v>
      </c>
      <c r="L31" s="347">
        <f>IF(A31="","",ROUND(SUM(K31*J31),3))</f>
        <v>0</v>
      </c>
      <c r="M31" s="118">
        <f>(J31-0.0011)*K31</f>
        <v>0</v>
      </c>
      <c r="N31" s="116">
        <f>D31-15</f>
        <v>-15</v>
      </c>
      <c r="O31" s="87">
        <f>J31*1000</f>
        <v>990.80000000000007</v>
      </c>
      <c r="P31" s="87">
        <f>IF(J31&gt;0.8385,186.9696,IF(J31&gt;0.7875,594.5418,IF(J31&gt;0.77,2680.3206,346.4228)))</f>
        <v>186.96960000000001</v>
      </c>
      <c r="Q31" s="87">
        <f>IF(J31&gt;0.8385,0.4862,IF(J31&gt;0.7875,0,IF(J31&gt;0.77,-0.00336312,0.4388)))</f>
        <v>0.48620000000000002</v>
      </c>
      <c r="R31" s="87">
        <f>IF(OR(J31&gt;0.7876,J31=0.7876),(P31/O31^2)+(Q31/O31),IF(OR(J31&gt;0.7701,J31=0.7701),(P31/O31^2)+Q31,(P31/O31^2)+(Q31/O31)))</f>
        <v>6.8117247917824197E-4</v>
      </c>
      <c r="S31" s="117">
        <f>ROUND(EXP(-R31*N31*(1+0.8*R31*N31)),4)</f>
        <v>1.0102</v>
      </c>
      <c r="V31" s="16"/>
    </row>
    <row r="32" spans="1:22">
      <c r="A32" s="209" t="s">
        <v>49</v>
      </c>
      <c r="B32" s="210" t="s">
        <v>7</v>
      </c>
      <c r="C32" s="211">
        <v>0</v>
      </c>
      <c r="D32" s="212">
        <v>0</v>
      </c>
      <c r="E32" s="211">
        <v>0</v>
      </c>
      <c r="F32" s="222" t="s">
        <v>39</v>
      </c>
      <c r="G32" s="211">
        <v>0</v>
      </c>
      <c r="H32" s="345">
        <f t="shared" si="0"/>
        <v>0</v>
      </c>
      <c r="I32" s="346">
        <f t="shared" si="1"/>
        <v>1.0102</v>
      </c>
      <c r="J32" s="213">
        <v>0.99080000000000001</v>
      </c>
      <c r="K32" s="347">
        <f t="shared" si="9"/>
        <v>0</v>
      </c>
      <c r="L32" s="347">
        <f t="shared" si="2"/>
        <v>0</v>
      </c>
      <c r="M32" s="118">
        <f t="shared" si="10"/>
        <v>0</v>
      </c>
      <c r="N32" s="116">
        <f t="shared" si="3"/>
        <v>-15</v>
      </c>
      <c r="O32" s="87">
        <f t="shared" si="4"/>
        <v>990.80000000000007</v>
      </c>
      <c r="P32" s="87">
        <f t="shared" si="5"/>
        <v>186.96960000000001</v>
      </c>
      <c r="Q32" s="87">
        <f t="shared" si="6"/>
        <v>0.48620000000000002</v>
      </c>
      <c r="R32" s="87">
        <f t="shared" si="7"/>
        <v>6.8117247917824197E-4</v>
      </c>
      <c r="S32" s="117">
        <f t="shared" si="8"/>
        <v>1.0102</v>
      </c>
      <c r="V32" s="16"/>
    </row>
    <row r="33" spans="1:22">
      <c r="A33" s="209"/>
      <c r="B33" s="210"/>
      <c r="C33" s="211"/>
      <c r="D33" s="212"/>
      <c r="E33" s="211"/>
      <c r="F33" s="222"/>
      <c r="G33" s="211">
        <f>D39</f>
        <v>0</v>
      </c>
      <c r="H33" s="345" t="str">
        <f t="shared" si="0"/>
        <v/>
      </c>
      <c r="I33" s="346" t="str">
        <f t="shared" si="1"/>
        <v/>
      </c>
      <c r="J33" s="213"/>
      <c r="K33" s="347" t="str">
        <f>IF(E33="","",H33*I33)</f>
        <v/>
      </c>
      <c r="L33" s="347" t="str">
        <f t="shared" si="2"/>
        <v/>
      </c>
      <c r="M33" s="118" t="e">
        <f>(J33-0.0011)*K33</f>
        <v>#VALUE!</v>
      </c>
      <c r="N33" s="410">
        <f>IF(D33="",0,D33-15)</f>
        <v>0</v>
      </c>
      <c r="O33" s="87">
        <f>IF(J33="",0,J33*1000)</f>
        <v>0</v>
      </c>
      <c r="P33" s="87">
        <f>IF(J33="",0,IF(J33&gt;0.8385,186.9696,IF(J33&gt;0.7875,594.5418,IF(J33&gt;0.77,2680.3206,346.4228))))</f>
        <v>0</v>
      </c>
      <c r="Q33" s="87">
        <f>IF(J33="",0,IF(J33&gt;0.8385,0.4862,IF(J33&gt;0.7875,0,IF(J33&gt;0.77,-0.00336312,0.4388))))</f>
        <v>0</v>
      </c>
      <c r="R33" s="87">
        <f>IF(OR(J33="",J33=0),0,IF(OR(J33&gt;0.7876,J33=0.7876),(P33/O33^2)+(Q33/O33),IF(OR(J33&gt;0.7701,J33=0.7701),(P33/O33^2)+Q33,(P33/O33^2)+(Q33/O33))))</f>
        <v>0</v>
      </c>
      <c r="S33" s="117">
        <f>IF(OR(J33="",J33=0),0,ROUND(EXP(-R33*N33*(1+0.8*R33*N33)),4))</f>
        <v>0</v>
      </c>
      <c r="V33" s="16"/>
    </row>
    <row r="34" spans="1:22">
      <c r="A34" s="209"/>
      <c r="B34" s="210"/>
      <c r="C34" s="211"/>
      <c r="D34" s="212"/>
      <c r="E34" s="211"/>
      <c r="F34" s="222"/>
      <c r="G34" s="211">
        <v>0</v>
      </c>
      <c r="H34" s="345" t="str">
        <f t="shared" si="0"/>
        <v/>
      </c>
      <c r="I34" s="346" t="str">
        <f t="shared" si="1"/>
        <v/>
      </c>
      <c r="J34" s="213"/>
      <c r="K34" s="347" t="str">
        <f t="shared" si="9"/>
        <v/>
      </c>
      <c r="L34" s="347" t="str">
        <f t="shared" si="2"/>
        <v/>
      </c>
      <c r="M34" s="118" t="e">
        <f t="shared" si="10"/>
        <v>#VALUE!</v>
      </c>
      <c r="N34" s="410">
        <f t="shared" ref="N34:N36" si="11">IF(D34="",0,D34-15)</f>
        <v>0</v>
      </c>
      <c r="O34" s="87">
        <f t="shared" ref="O34:O36" si="12">IF(J34="",0,J34*1000)</f>
        <v>0</v>
      </c>
      <c r="P34" s="87">
        <f t="shared" ref="P34:P36" si="13">IF(J34="",0,IF(J34&gt;0.8385,186.9696,IF(J34&gt;0.7875,594.5418,IF(J34&gt;0.77,2680.3206,346.4228))))</f>
        <v>0</v>
      </c>
      <c r="Q34" s="87">
        <f t="shared" ref="Q34:Q36" si="14">IF(J34="",0,IF(J34&gt;0.8385,0.4862,IF(J34&gt;0.7875,0,IF(J34&gt;0.77,-0.00336312,0.4388))))</f>
        <v>0</v>
      </c>
      <c r="R34" s="87">
        <f t="shared" ref="R34:R36" si="15">IF(OR(J34="",J34=0),0,IF(OR(J34&gt;0.7876,J34=0.7876),(P34/O34^2)+(Q34/O34),IF(OR(J34&gt;0.7701,J34=0.7701),(P34/O34^2)+Q34,(P34/O34^2)+(Q34/O34))))</f>
        <v>0</v>
      </c>
      <c r="S34" s="117">
        <f t="shared" ref="S34:S36" si="16">IF(OR(J34="",J34=0),0,ROUND(EXP(-R34*N34*(1+0.8*R34*N34)),4))</f>
        <v>0</v>
      </c>
      <c r="V34" s="16"/>
    </row>
    <row r="35" spans="1:22">
      <c r="A35" s="209"/>
      <c r="B35" s="210"/>
      <c r="C35" s="211"/>
      <c r="D35" s="212"/>
      <c r="E35" s="211"/>
      <c r="F35" s="222"/>
      <c r="G35" s="211">
        <v>0</v>
      </c>
      <c r="H35" s="345" t="str">
        <f t="shared" si="0"/>
        <v/>
      </c>
      <c r="I35" s="346" t="str">
        <f t="shared" si="1"/>
        <v/>
      </c>
      <c r="J35" s="213"/>
      <c r="K35" s="347" t="str">
        <f t="shared" si="9"/>
        <v/>
      </c>
      <c r="L35" s="347" t="str">
        <f t="shared" si="2"/>
        <v/>
      </c>
      <c r="M35" s="118" t="e">
        <f t="shared" si="10"/>
        <v>#VALUE!</v>
      </c>
      <c r="N35" s="410">
        <f t="shared" si="11"/>
        <v>0</v>
      </c>
      <c r="O35" s="87">
        <f t="shared" si="12"/>
        <v>0</v>
      </c>
      <c r="P35" s="87">
        <f t="shared" si="13"/>
        <v>0</v>
      </c>
      <c r="Q35" s="87">
        <f t="shared" si="14"/>
        <v>0</v>
      </c>
      <c r="R35" s="87">
        <f t="shared" si="15"/>
        <v>0</v>
      </c>
      <c r="S35" s="117">
        <f t="shared" si="16"/>
        <v>0</v>
      </c>
      <c r="V35" s="16"/>
    </row>
    <row r="36" spans="1:22">
      <c r="A36" s="209"/>
      <c r="B36" s="210"/>
      <c r="C36" s="211"/>
      <c r="D36" s="212"/>
      <c r="E36" s="211"/>
      <c r="F36" s="222"/>
      <c r="G36" s="211">
        <v>0</v>
      </c>
      <c r="H36" s="345" t="str">
        <f t="shared" si="0"/>
        <v/>
      </c>
      <c r="I36" s="346" t="str">
        <f t="shared" si="1"/>
        <v/>
      </c>
      <c r="J36" s="213"/>
      <c r="K36" s="347" t="str">
        <f t="shared" si="9"/>
        <v/>
      </c>
      <c r="L36" s="347" t="str">
        <f t="shared" si="2"/>
        <v/>
      </c>
      <c r="M36" s="118" t="e">
        <f t="shared" si="10"/>
        <v>#VALUE!</v>
      </c>
      <c r="N36" s="410">
        <f t="shared" si="11"/>
        <v>0</v>
      </c>
      <c r="O36" s="87">
        <f t="shared" si="12"/>
        <v>0</v>
      </c>
      <c r="P36" s="87">
        <f t="shared" si="13"/>
        <v>0</v>
      </c>
      <c r="Q36" s="87">
        <f t="shared" si="14"/>
        <v>0</v>
      </c>
      <c r="R36" s="87">
        <f t="shared" si="15"/>
        <v>0</v>
      </c>
      <c r="S36" s="117">
        <f t="shared" si="16"/>
        <v>0</v>
      </c>
      <c r="V36" s="16"/>
    </row>
    <row r="37" spans="1:22">
      <c r="A37" s="396"/>
      <c r="B37" s="388"/>
      <c r="C37" s="388"/>
      <c r="D37" s="388"/>
      <c r="E37" s="388"/>
      <c r="F37" s="388"/>
      <c r="G37" s="211">
        <v>0</v>
      </c>
      <c r="H37" s="345" t="str">
        <f t="shared" si="0"/>
        <v/>
      </c>
      <c r="I37" s="346" t="str">
        <f t="shared" si="1"/>
        <v/>
      </c>
      <c r="J37" s="388"/>
      <c r="K37" s="347" t="str">
        <f t="shared" si="9"/>
        <v/>
      </c>
      <c r="L37" s="347" t="str">
        <f t="shared" si="2"/>
        <v/>
      </c>
      <c r="M37" s="118" t="e">
        <f t="shared" si="10"/>
        <v>#VALUE!</v>
      </c>
      <c r="N37" s="120">
        <f>SUM(N21:N36)</f>
        <v>240</v>
      </c>
    </row>
    <row r="38" spans="1:22">
      <c r="A38" s="427"/>
      <c r="B38" s="428"/>
      <c r="C38" s="428"/>
      <c r="D38" s="428"/>
      <c r="E38" s="428"/>
      <c r="F38" s="428"/>
      <c r="G38" s="211">
        <v>0</v>
      </c>
      <c r="H38" s="345" t="str">
        <f t="shared" si="0"/>
        <v/>
      </c>
      <c r="I38" s="346" t="str">
        <f>IF(E38="","",S38)</f>
        <v/>
      </c>
      <c r="J38" s="428"/>
      <c r="K38" s="347" t="str">
        <f>IF(E38="","",H38*I38)</f>
        <v/>
      </c>
      <c r="L38" s="347" t="str">
        <f>IF(A38="","",ROUND(SUM(K38*J38),3))</f>
        <v/>
      </c>
      <c r="M38" s="118" t="e">
        <f>(J38-0.0011)*K38</f>
        <v>#VALUE!</v>
      </c>
      <c r="N38" s="120"/>
    </row>
    <row r="39" spans="1:22">
      <c r="A39" s="396"/>
      <c r="B39" s="388"/>
      <c r="C39" s="388"/>
      <c r="D39" s="388"/>
      <c r="E39" s="388"/>
      <c r="F39" s="388"/>
      <c r="G39" s="211">
        <v>0</v>
      </c>
      <c r="H39" s="345" t="str">
        <f t="shared" si="0"/>
        <v/>
      </c>
      <c r="I39" s="346" t="str">
        <f t="shared" si="1"/>
        <v/>
      </c>
      <c r="J39" s="388"/>
      <c r="K39" s="347" t="str">
        <f t="shared" si="9"/>
        <v/>
      </c>
      <c r="L39" s="347" t="str">
        <f t="shared" si="2"/>
        <v/>
      </c>
      <c r="M39" s="118" t="e">
        <f t="shared" si="10"/>
        <v>#VALUE!</v>
      </c>
      <c r="N39" s="122"/>
    </row>
    <row r="40" spans="1:22">
      <c r="A40" s="397"/>
      <c r="B40" s="388"/>
      <c r="C40" s="388"/>
      <c r="D40" s="429"/>
      <c r="E40" s="388"/>
      <c r="F40" s="429"/>
      <c r="G40" s="211">
        <v>0</v>
      </c>
      <c r="H40" s="345" t="str">
        <f t="shared" si="0"/>
        <v/>
      </c>
      <c r="I40" s="346" t="str">
        <f t="shared" si="1"/>
        <v/>
      </c>
      <c r="J40" s="388"/>
      <c r="K40" s="347" t="str">
        <f t="shared" si="9"/>
        <v/>
      </c>
      <c r="L40" s="347" t="str">
        <f t="shared" si="2"/>
        <v/>
      </c>
      <c r="M40" s="118" t="e">
        <f t="shared" si="10"/>
        <v>#VALUE!</v>
      </c>
      <c r="N40" s="122"/>
    </row>
    <row r="41" spans="1:22" ht="14.4" thickBot="1">
      <c r="A41" s="398"/>
      <c r="B41" s="399"/>
      <c r="C41" s="399"/>
      <c r="D41" s="399"/>
      <c r="E41" s="399"/>
      <c r="F41" s="399"/>
      <c r="G41" s="214">
        <v>0</v>
      </c>
      <c r="H41" s="431" t="str">
        <f t="shared" si="0"/>
        <v/>
      </c>
      <c r="I41" s="376" t="str">
        <f t="shared" si="1"/>
        <v/>
      </c>
      <c r="J41" s="399"/>
      <c r="K41" s="375" t="str">
        <f t="shared" si="9"/>
        <v/>
      </c>
      <c r="L41" s="375" t="str">
        <f t="shared" si="2"/>
        <v/>
      </c>
      <c r="M41" s="162" t="e">
        <f t="shared" si="10"/>
        <v>#VALUE!</v>
      </c>
      <c r="N41" s="122"/>
    </row>
    <row r="42" spans="1:22" ht="14.4" thickBot="1">
      <c r="A42" s="426" t="s">
        <v>50</v>
      </c>
      <c r="B42" s="378"/>
      <c r="C42" s="378"/>
      <c r="D42" s="378"/>
      <c r="E42" s="378"/>
      <c r="F42" s="378"/>
      <c r="G42" s="378"/>
      <c r="H42" s="358">
        <f>SUM(H21:H36)</f>
        <v>687.61</v>
      </c>
      <c r="I42" s="378"/>
      <c r="J42" s="378"/>
      <c r="K42" s="358">
        <f>SUM(K21:K36)</f>
        <v>680.37206800000013</v>
      </c>
      <c r="L42" s="358">
        <f>SUM(L21:L36)</f>
        <v>670.98199999999997</v>
      </c>
      <c r="M42" s="377" t="e">
        <f>SUM(M21:M36)</f>
        <v>#VALUE!</v>
      </c>
      <c r="N42" s="122"/>
    </row>
    <row r="43" spans="1:22" ht="14.4" thickBot="1">
      <c r="N43" s="122"/>
    </row>
    <row r="44" spans="1:22" ht="14.4" thickBot="1">
      <c r="J44" s="121" t="s">
        <v>51</v>
      </c>
      <c r="K44" s="218">
        <v>661.9</v>
      </c>
      <c r="L44" s="98" t="s">
        <v>52</v>
      </c>
      <c r="M44" s="175" t="e">
        <f>M42-K44</f>
        <v>#VALUE!</v>
      </c>
      <c r="N44" s="122"/>
    </row>
    <row r="45" spans="1:22">
      <c r="N45" s="116">
        <f>D50-15</f>
        <v>9</v>
      </c>
      <c r="O45" s="87">
        <f>J50*1000</f>
        <v>986.19999999999993</v>
      </c>
      <c r="P45" s="87">
        <f>IF(J50&gt;0.8385,186.9696,IF(J50&gt;0.7875,594.5418,IF(J50&gt;0.77,2680.3206,346.4228)))</f>
        <v>186.96960000000001</v>
      </c>
      <c r="Q45" s="87">
        <f>IF(J50&gt;0.8385,0.4862,IF(J50&gt;0.7875,0,IF(J50&gt;0.77,-0.00336312,0.4388)))</f>
        <v>0.48620000000000002</v>
      </c>
      <c r="R45" s="87">
        <f>IF(OR(J50&gt;0.7876,J50=0.7876),(P45/O45^2)+(Q45/O45),IF(OR(J50&gt;0.7701,J50=0.7701),(P45/O45^2)+Q45,(P45/O45^2)+(Q45/O45)))</f>
        <v>6.8524222796185422E-4</v>
      </c>
      <c r="S45" s="117">
        <f>ROUND(EXP(-R45*N45*(1+0.8*R45*N45)),4)</f>
        <v>0.99380000000000002</v>
      </c>
    </row>
    <row r="46" spans="1:22" ht="14.4" thickBot="1">
      <c r="A46" s="95" t="s">
        <v>53</v>
      </c>
      <c r="N46" s="116">
        <f>D51-15</f>
        <v>9</v>
      </c>
      <c r="O46" s="87">
        <f>J51*1000</f>
        <v>986.19999999999993</v>
      </c>
      <c r="P46" s="87">
        <f>IF(J51&gt;0.8385,186.9696,IF(J51&gt;0.7875,594.5418,IF(J51&gt;0.77,2680.3206,346.4228)))</f>
        <v>186.96960000000001</v>
      </c>
      <c r="Q46" s="87">
        <f>IF(J51&gt;0.8385,0.4862,IF(J51&gt;0.7875,0,IF(J51&gt;0.77,-0.00336312,0.4388)))</f>
        <v>0.48620000000000002</v>
      </c>
      <c r="R46" s="87">
        <f>IF(OR(J51&gt;0.7876,J51=0.7876),(P46/O46^2)+(Q46/O46),IF(OR(J51&gt;0.7701,J51=0.7701),(P46/O46^2)+Q46,(P46/O46^2)+(Q46/O46)))</f>
        <v>6.8524222796185422E-4</v>
      </c>
      <c r="S46" s="117">
        <f t="shared" ref="S46:S56" si="17">ROUND(EXP(-R46*N46*(1+0.8*R46*N46)),4)</f>
        <v>0.99380000000000002</v>
      </c>
    </row>
    <row r="47" spans="1:22" ht="14.4" thickBot="1">
      <c r="A47" s="109" t="s">
        <v>17</v>
      </c>
      <c r="B47" s="205">
        <v>0</v>
      </c>
      <c r="C47" s="110" t="s">
        <v>18</v>
      </c>
      <c r="D47" s="110" t="s">
        <v>19</v>
      </c>
      <c r="E47" s="215">
        <v>0</v>
      </c>
      <c r="F47" s="93" t="s">
        <v>18</v>
      </c>
      <c r="G47" s="123" t="s">
        <v>20</v>
      </c>
      <c r="H47" s="216">
        <v>0</v>
      </c>
      <c r="I47" s="124" t="s">
        <v>21</v>
      </c>
      <c r="J47" s="111"/>
      <c r="K47" s="217" t="s">
        <v>22</v>
      </c>
      <c r="L47" s="140" t="s">
        <v>23</v>
      </c>
      <c r="M47" s="141"/>
      <c r="N47" s="116">
        <f>D52-15</f>
        <v>27</v>
      </c>
      <c r="O47" s="87">
        <f>J52*1000</f>
        <v>989.6</v>
      </c>
      <c r="P47" s="87">
        <f>IF(J52&gt;0.8385,186.9696,IF(J52&gt;0.7875,594.5418,IF(J52&gt;0.77,2680.3206,346.4228)))</f>
        <v>186.96960000000001</v>
      </c>
      <c r="Q47" s="87">
        <f>IF(J52&gt;0.8385,0.4862,IF(J52&gt;0.7875,0,IF(J52&gt;0.77,-0.00336312,0.4388)))</f>
        <v>0.48620000000000002</v>
      </c>
      <c r="R47" s="87">
        <f>IF(OR(J52&gt;0.7876,J52=0.7876),(P47/O47^2)+(Q47/O47),IF(OR(J52&gt;0.7701,J52=0.7701),(P47/O47^2)+Q47,(P47/O47^2)+(Q47/O47)))</f>
        <v>6.8222970796036255E-4</v>
      </c>
      <c r="S47" s="117">
        <f t="shared" si="17"/>
        <v>0.98150000000000004</v>
      </c>
    </row>
    <row r="48" spans="1:22" ht="42.6">
      <c r="A48" s="148" t="s">
        <v>24</v>
      </c>
      <c r="B48" s="139" t="s">
        <v>25</v>
      </c>
      <c r="C48" s="155" t="s">
        <v>26</v>
      </c>
      <c r="D48" s="154" t="s">
        <v>54</v>
      </c>
      <c r="E48" s="147" t="s">
        <v>55</v>
      </c>
      <c r="F48" s="151" t="s">
        <v>29</v>
      </c>
      <c r="G48" s="152"/>
      <c r="H48" s="146" t="s">
        <v>30</v>
      </c>
      <c r="I48" s="144">
        <v>9</v>
      </c>
      <c r="J48" s="153" t="s">
        <v>32</v>
      </c>
      <c r="K48" s="149" t="s">
        <v>56</v>
      </c>
      <c r="L48" s="142" t="s">
        <v>34</v>
      </c>
      <c r="M48" s="143" t="s">
        <v>35</v>
      </c>
      <c r="N48" s="116">
        <f>D53-15</f>
        <v>27</v>
      </c>
      <c r="O48" s="87">
        <f>J53*1000</f>
        <v>989.6</v>
      </c>
      <c r="P48" s="87">
        <f>IF(J53&gt;0.8385,186.9696,IF(J53&gt;0.7875,594.5418,IF(J53&gt;0.77,2680.3206,346.4228)))</f>
        <v>186.96960000000001</v>
      </c>
      <c r="Q48" s="87">
        <f>IF(J53&gt;0.8385,0.4862,IF(J53&gt;0.7875,0,IF(J53&gt;0.77,-0.00336312,0.4388)))</f>
        <v>0.48620000000000002</v>
      </c>
      <c r="R48" s="87">
        <f>IF(OR(J53&gt;0.7876,J53=0.7876),(P48/O48^2)+(Q48/O48),IF(OR(J53&gt;0.7701,J53=0.7701),(P48/O48^2)+Q48,(P48/O48^2)+(Q48/O48)))</f>
        <v>6.8222970796036255E-4</v>
      </c>
      <c r="S48" s="117">
        <f t="shared" si="17"/>
        <v>0.98150000000000004</v>
      </c>
    </row>
    <row r="49" spans="1:19" ht="14.4" thickBot="1">
      <c r="A49" s="432"/>
      <c r="B49" s="433"/>
      <c r="C49" s="434"/>
      <c r="D49" s="435"/>
      <c r="E49" s="436"/>
      <c r="F49" s="437" t="s">
        <v>36</v>
      </c>
      <c r="G49" s="438" t="s">
        <v>37</v>
      </c>
      <c r="H49" s="439"/>
      <c r="I49" s="440"/>
      <c r="J49" s="441"/>
      <c r="K49" s="442"/>
      <c r="L49" s="415"/>
      <c r="M49" s="416"/>
      <c r="N49" s="116">
        <f>D54-15</f>
        <v>9</v>
      </c>
      <c r="O49" s="87">
        <f>J54*1000</f>
        <v>986.19999999999993</v>
      </c>
      <c r="P49" s="87">
        <f>IF(J54&gt;0.8385,186.9696,IF(J54&gt;0.7875,594.5418,IF(J54&gt;0.77,2680.3206,346.4228)))</f>
        <v>186.96960000000001</v>
      </c>
      <c r="Q49" s="87">
        <f>IF(J54&gt;0.8385,0.4862,IF(J54&gt;0.7875,0,IF(J54&gt;0.77,-0.00336312,0.4388)))</f>
        <v>0.48620000000000002</v>
      </c>
      <c r="R49" s="87">
        <f>IF(OR(J54&gt;0.7876,J54=0.7876),(P49/O49^2)+(Q49/O49),IF(OR(J54&gt;0.7701,J54=0.7701),(P49/O49^2)+Q49,(P49/O49^2)+(Q49/O49)))</f>
        <v>6.8524222796185422E-4</v>
      </c>
      <c r="S49" s="117">
        <f t="shared" si="17"/>
        <v>0.99380000000000002</v>
      </c>
    </row>
    <row r="50" spans="1:19">
      <c r="A50" s="443" t="str">
        <f>A21</f>
        <v>HFO 1P</v>
      </c>
      <c r="B50" s="444" t="s">
        <v>7</v>
      </c>
      <c r="C50" s="368">
        <v>0</v>
      </c>
      <c r="D50" s="369">
        <v>24</v>
      </c>
      <c r="E50" s="368">
        <v>0.2</v>
      </c>
      <c r="F50" s="224" t="s">
        <v>39</v>
      </c>
      <c r="G50" s="368">
        <v>0</v>
      </c>
      <c r="H50" s="370">
        <f>IF(E50="","",E50-G50)</f>
        <v>0.2</v>
      </c>
      <c r="I50" s="371">
        <f>IF(E50="","",S45)</f>
        <v>0.99380000000000002</v>
      </c>
      <c r="J50" s="371">
        <f>J21</f>
        <v>0.98619999999999997</v>
      </c>
      <c r="K50" s="372">
        <f>IF(E50="","",H50*I50)</f>
        <v>0.19876000000000002</v>
      </c>
      <c r="L50" s="373">
        <f>IF(A50="","",ROUND(SUM(K50*J50),3))</f>
        <v>0.19600000000000001</v>
      </c>
      <c r="M50" s="374">
        <f>(J50-0.0011)*K50</f>
        <v>0.19579847600000003</v>
      </c>
      <c r="N50" s="116">
        <f>D55-15</f>
        <v>9</v>
      </c>
      <c r="O50" s="87">
        <f>J55*1000</f>
        <v>986.19999999999993</v>
      </c>
      <c r="P50" s="87">
        <f>IF(J55&gt;0.8385,186.9696,IF(J55&gt;0.7875,594.5418,IF(J55&gt;0.77,2680.3206,346.4228)))</f>
        <v>186.96960000000001</v>
      </c>
      <c r="Q50" s="87">
        <f>IF(J55&gt;0.8385,0.4862,IF(J55&gt;0.7875,0,IF(J55&gt;0.77,-0.00336312,0.4388)))</f>
        <v>0.48620000000000002</v>
      </c>
      <c r="R50" s="87">
        <f>IF(OR(J55&gt;0.7876,J55=0.7876),(P50/O50^2)+(Q50/O50),IF(OR(J55&gt;0.7701,J55=0.7701),(P50/O50^2)+Q50,(P50/O50^2)+(Q50/O50)))</f>
        <v>6.8524222796185422E-4</v>
      </c>
      <c r="S50" s="117">
        <f t="shared" si="17"/>
        <v>0.99380000000000002</v>
      </c>
    </row>
    <row r="51" spans="1:19">
      <c r="A51" s="173" t="str">
        <f>A22</f>
        <v>HFO 1S</v>
      </c>
      <c r="B51" s="174" t="s">
        <v>7</v>
      </c>
      <c r="C51" s="211">
        <v>0</v>
      </c>
      <c r="D51" s="212">
        <v>24</v>
      </c>
      <c r="E51" s="211">
        <v>135.66</v>
      </c>
      <c r="F51" s="222" t="s">
        <v>39</v>
      </c>
      <c r="G51" s="211">
        <v>0</v>
      </c>
      <c r="H51" s="345">
        <f>IF(E51="","",E51-G51)</f>
        <v>135.66</v>
      </c>
      <c r="I51" s="346">
        <f>IF(E51="","",S46)</f>
        <v>0.99380000000000002</v>
      </c>
      <c r="J51" s="346">
        <f>J22</f>
        <v>0.98619999999999997</v>
      </c>
      <c r="K51" s="347">
        <f>IF(E51="","",H51*I51)</f>
        <v>134.81890799999999</v>
      </c>
      <c r="L51" s="348">
        <f>IF(A51="","",ROUND(SUM(K51*J51),3))</f>
        <v>132.958</v>
      </c>
      <c r="M51" s="97">
        <f>(J51-0.0011)*K51</f>
        <v>132.81010627079999</v>
      </c>
      <c r="N51" s="116">
        <f>D56-15</f>
        <v>60</v>
      </c>
      <c r="O51" s="87">
        <f>J56*1000</f>
        <v>986.19999999999993</v>
      </c>
      <c r="P51" s="87">
        <f>IF(J56&gt;0.8385,186.9696,IF(J56&gt;0.7875,594.5418,IF(J56&gt;0.77,2680.3206,346.4228)))</f>
        <v>186.96960000000001</v>
      </c>
      <c r="Q51" s="87">
        <f>IF(J56&gt;0.8385,0.4862,IF(J56&gt;0.7875,0,IF(J56&gt;0.77,-0.00336312,0.4388)))</f>
        <v>0.48620000000000002</v>
      </c>
      <c r="R51" s="87">
        <f>IF(OR(J56&gt;0.7876,J56=0.7876),(P51/O51^2)+(Q51/O51),IF(OR(J56&gt;0.7701,J56=0.7701),(P51/O51^2)+Q51,(P51/O51^2)+(Q51/O51)))</f>
        <v>6.8524222796185422E-4</v>
      </c>
      <c r="S51" s="117">
        <f t="shared" si="17"/>
        <v>0.95840000000000003</v>
      </c>
    </row>
    <row r="52" spans="1:19">
      <c r="A52" s="173" t="str">
        <f>A23</f>
        <v>HFO 2P</v>
      </c>
      <c r="B52" s="174" t="s">
        <v>7</v>
      </c>
      <c r="C52" s="211">
        <v>0</v>
      </c>
      <c r="D52" s="212">
        <v>42</v>
      </c>
      <c r="E52" s="211">
        <v>297.70999999999998</v>
      </c>
      <c r="F52" s="222" t="s">
        <v>39</v>
      </c>
      <c r="G52" s="211">
        <v>0</v>
      </c>
      <c r="H52" s="345">
        <f>IF(E52="","",E52-G52)</f>
        <v>297.70999999999998</v>
      </c>
      <c r="I52" s="346">
        <f>IF(E52="","",S47)</f>
        <v>0.98150000000000004</v>
      </c>
      <c r="J52" s="346">
        <f>J23</f>
        <v>0.98960000000000004</v>
      </c>
      <c r="K52" s="347">
        <f>IF(E52="","",H52*I52)</f>
        <v>292.20236499999999</v>
      </c>
      <c r="L52" s="348">
        <f>IF(A52="","",ROUND(SUM(K52*J52),3))</f>
        <v>289.16300000000001</v>
      </c>
      <c r="M52" s="97">
        <f>(J52-0.0011)*K52</f>
        <v>288.84203780249999</v>
      </c>
      <c r="N52" s="116">
        <f>D57-15</f>
        <v>60</v>
      </c>
      <c r="O52" s="87">
        <f>J57*1000</f>
        <v>986.19999999999993</v>
      </c>
      <c r="P52" s="87">
        <f>IF(J57&gt;0.8385,186.9696,IF(J57&gt;0.7875,594.5418,IF(J57&gt;0.77,2680.3206,346.4228)))</f>
        <v>186.96960000000001</v>
      </c>
      <c r="Q52" s="87">
        <f>IF(J57&gt;0.8385,0.4862,IF(J57&gt;0.7875,0,IF(J57&gt;0.77,-0.00336312,0.4388)))</f>
        <v>0.48620000000000002</v>
      </c>
      <c r="R52" s="87">
        <f>IF(OR(J57&gt;0.7876,J57=0.7876),(P52/O52^2)+(Q52/O52),IF(OR(J57&gt;0.7701,J57=0.7701),(P52/O52^2)+Q52,(P52/O52^2)+(Q52/O52)))</f>
        <v>6.8524222796185422E-4</v>
      </c>
      <c r="S52" s="117">
        <f t="shared" si="17"/>
        <v>0.95840000000000003</v>
      </c>
    </row>
    <row r="53" spans="1:19">
      <c r="A53" s="173" t="str">
        <f>A24</f>
        <v>HFO 2S</v>
      </c>
      <c r="B53" s="174" t="s">
        <v>7</v>
      </c>
      <c r="C53" s="211">
        <v>0</v>
      </c>
      <c r="D53" s="212">
        <v>42</v>
      </c>
      <c r="E53" s="211">
        <v>298.51</v>
      </c>
      <c r="F53" s="222" t="s">
        <v>39</v>
      </c>
      <c r="G53" s="211">
        <v>0</v>
      </c>
      <c r="H53" s="345">
        <f>IF(E53="","",E53-G53)</f>
        <v>298.51</v>
      </c>
      <c r="I53" s="346">
        <f>IF(E53="","",S48)</f>
        <v>0.98150000000000004</v>
      </c>
      <c r="J53" s="346">
        <f>J24</f>
        <v>0.98960000000000004</v>
      </c>
      <c r="K53" s="347">
        <f>IF(E53="","",H53*I53)</f>
        <v>292.98756500000002</v>
      </c>
      <c r="L53" s="348">
        <f>IF(A53="","",ROUND(SUM(K53*J53),3))</f>
        <v>289.94</v>
      </c>
      <c r="M53" s="97">
        <f>(J53-0.0011)*K53</f>
        <v>289.61820800250001</v>
      </c>
      <c r="N53" s="116">
        <f>D58-15</f>
        <v>79</v>
      </c>
      <c r="O53" s="87">
        <f>J58*1000</f>
        <v>986.19999999999993</v>
      </c>
      <c r="P53" s="87">
        <f>IF(J58&gt;0.8385,186.9696,IF(J58&gt;0.7875,594.5418,IF(J58&gt;0.77,2680.3206,346.4228)))</f>
        <v>186.96960000000001</v>
      </c>
      <c r="Q53" s="87">
        <f>IF(J58&gt;0.8385,0.4862,IF(J58&gt;0.7875,0,IF(J58&gt;0.77,-0.00336312,0.4388)))</f>
        <v>0.48620000000000002</v>
      </c>
      <c r="R53" s="87">
        <f>IF(OR(J58&gt;0.7876,J58=0.7876),(P53/O53^2)+(Q53/O53),IF(OR(J58&gt;0.7701,J58=0.7701),(P53/O53^2)+Q53,(P53/O53^2)+(Q53/O53)))</f>
        <v>6.8524222796185422E-4</v>
      </c>
      <c r="S53" s="117">
        <f t="shared" si="17"/>
        <v>0.94510000000000005</v>
      </c>
    </row>
    <row r="54" spans="1:19">
      <c r="A54" s="173" t="str">
        <f>A25</f>
        <v>HFO 3P</v>
      </c>
      <c r="B54" s="174" t="s">
        <v>7</v>
      </c>
      <c r="C54" s="211">
        <v>0</v>
      </c>
      <c r="D54" s="212">
        <v>24</v>
      </c>
      <c r="E54" s="211">
        <v>385.65</v>
      </c>
      <c r="F54" s="222" t="s">
        <v>39</v>
      </c>
      <c r="G54" s="211">
        <v>0</v>
      </c>
      <c r="H54" s="345">
        <f>IF(E54="","",E54-G54)</f>
        <v>385.65</v>
      </c>
      <c r="I54" s="346">
        <f>IF(E54="","",S49)</f>
        <v>0.99380000000000002</v>
      </c>
      <c r="J54" s="346">
        <f>J25</f>
        <v>0.98619999999999997</v>
      </c>
      <c r="K54" s="347">
        <f>IF(E54="","",H54*I54)</f>
        <v>383.25896999999998</v>
      </c>
      <c r="L54" s="348">
        <f>IF(A54="","",ROUND(SUM(K54*J54),3))</f>
        <v>377.97</v>
      </c>
      <c r="M54" s="97">
        <f>(J54-0.0011)*K54</f>
        <v>377.54841134699996</v>
      </c>
      <c r="N54" s="116">
        <f>D59-15</f>
        <v>17</v>
      </c>
      <c r="O54" s="87">
        <f>J59*1000</f>
        <v>986.19999999999993</v>
      </c>
      <c r="P54" s="87">
        <f>IF(J59&gt;0.8385,186.9696,IF(J59&gt;0.7875,594.5418,IF(J59&gt;0.77,2680.3206,346.4228)))</f>
        <v>186.96960000000001</v>
      </c>
      <c r="Q54" s="87">
        <f>IF(J59&gt;0.8385,0.4862,IF(J59&gt;0.7875,0,IF(J59&gt;0.77,-0.00336312,0.4388)))</f>
        <v>0.48620000000000002</v>
      </c>
      <c r="R54" s="87">
        <f>IF(OR(J59&gt;0.7876,J59=0.7876),(P54/O54^2)+(Q54/O54),IF(OR(J59&gt;0.7701,J59=0.7701),(P54/O54^2)+Q54,(P54/O54^2)+(Q54/O54)))</f>
        <v>6.8524222796185422E-4</v>
      </c>
      <c r="S54" s="117">
        <f t="shared" si="17"/>
        <v>0.98829999999999996</v>
      </c>
    </row>
    <row r="55" spans="1:19">
      <c r="A55" s="173" t="str">
        <f>A26</f>
        <v>HFO 3S</v>
      </c>
      <c r="B55" s="174" t="s">
        <v>7</v>
      </c>
      <c r="C55" s="211">
        <v>0</v>
      </c>
      <c r="D55" s="212">
        <v>24</v>
      </c>
      <c r="E55" s="211">
        <v>92.68</v>
      </c>
      <c r="F55" s="222"/>
      <c r="G55" s="211">
        <v>0</v>
      </c>
      <c r="H55" s="345">
        <f>IF(E55="","",E55-G55)</f>
        <v>92.68</v>
      </c>
      <c r="I55" s="346">
        <f>IF(E55="","",S50)</f>
        <v>0.99380000000000002</v>
      </c>
      <c r="J55" s="346">
        <f>J26</f>
        <v>0.98619999999999997</v>
      </c>
      <c r="K55" s="347">
        <f>IF(E55="","",H55*I55)</f>
        <v>92.105384000000015</v>
      </c>
      <c r="L55" s="348">
        <f>IF(A55="","",ROUND(SUM(K55*J55),3))</f>
        <v>90.834000000000003</v>
      </c>
      <c r="M55" s="97">
        <f>(J55-0.0011)*K55</f>
        <v>90.733013778400007</v>
      </c>
      <c r="N55" s="116">
        <f>D60-15</f>
        <v>-15</v>
      </c>
      <c r="O55" s="87">
        <f>J60*1000</f>
        <v>990.80000000000007</v>
      </c>
      <c r="P55" s="87">
        <f>IF(J60&gt;0.8385,186.9696,IF(J60&gt;0.7875,594.5418,IF(J60&gt;0.77,2680.3206,346.4228)))</f>
        <v>186.96960000000001</v>
      </c>
      <c r="Q55" s="87">
        <f>IF(J60&gt;0.8385,0.4862,IF(J60&gt;0.7875,0,IF(J60&gt;0.77,-0.00336312,0.4388)))</f>
        <v>0.48620000000000002</v>
      </c>
      <c r="R55" s="87">
        <f>IF(OR(J60&gt;0.7876,J60=0.7876),(P55/O55^2)+(Q55/O55),IF(OR(J60&gt;0.7701,J60=0.7701),(P55/O55^2)+Q55,(P55/O55^2)+(Q55/O55)))</f>
        <v>6.8117247917824197E-4</v>
      </c>
      <c r="S55" s="117">
        <f>ROUND(EXP(-R55*N55*(1+0.8*R55*N55)),4)</f>
        <v>1.0102</v>
      </c>
    </row>
    <row r="56" spans="1:19">
      <c r="A56" s="173" t="str">
        <f>A27</f>
        <v>HFO SERV 1</v>
      </c>
      <c r="B56" s="174" t="s">
        <v>7</v>
      </c>
      <c r="C56" s="211" t="s">
        <v>46</v>
      </c>
      <c r="D56" s="212">
        <v>75</v>
      </c>
      <c r="E56" s="211">
        <v>27</v>
      </c>
      <c r="F56" s="222" t="s">
        <v>39</v>
      </c>
      <c r="G56" s="211">
        <v>0</v>
      </c>
      <c r="H56" s="345">
        <f>IF(E56="","",E56-G56)</f>
        <v>27</v>
      </c>
      <c r="I56" s="346">
        <f>IF(E56="","",S51)</f>
        <v>0.95840000000000003</v>
      </c>
      <c r="J56" s="346">
        <f>J27</f>
        <v>0.98619999999999997</v>
      </c>
      <c r="K56" s="347">
        <f>IF(E56="","",H56*I56)</f>
        <v>25.876799999999999</v>
      </c>
      <c r="L56" s="348">
        <f>IF(A56="","",ROUND(SUM(K56*J56),3))</f>
        <v>25.52</v>
      </c>
      <c r="M56" s="97">
        <f>(J56-0.0011)*K56</f>
        <v>25.491235679999999</v>
      </c>
      <c r="N56" s="116">
        <f>D61-15</f>
        <v>-15</v>
      </c>
      <c r="O56" s="87">
        <f>J61*1000</f>
        <v>990.80000000000007</v>
      </c>
      <c r="P56" s="87">
        <f>IF(J61&gt;0.8385,186.9696,IF(J61&gt;0.7875,594.5418,IF(J61&gt;0.77,2680.3206,346.4228)))</f>
        <v>186.96960000000001</v>
      </c>
      <c r="Q56" s="87">
        <f>IF(J61&gt;0.8385,0.4862,IF(J61&gt;0.7875,0,IF(J61&gt;0.77,-0.00336312,0.4388)))</f>
        <v>0.48620000000000002</v>
      </c>
      <c r="R56" s="87">
        <f>IF(OR(J61&gt;0.7876,J61=0.7876),(P56/O56^2)+(Q56/O56),IF(OR(J61&gt;0.7701,J61=0.7701),(P56/O56^2)+Q56,(P56/O56^2)+(Q56/O56)))</f>
        <v>6.8117247917824197E-4</v>
      </c>
      <c r="S56" s="117">
        <f t="shared" si="17"/>
        <v>1.0102</v>
      </c>
    </row>
    <row r="57" spans="1:19" ht="13.8" customHeight="1">
      <c r="A57" s="173" t="str">
        <f>A28</f>
        <v>HFO SETT 1</v>
      </c>
      <c r="B57" s="174" t="s">
        <v>7</v>
      </c>
      <c r="C57" s="211" t="s">
        <v>46</v>
      </c>
      <c r="D57" s="212">
        <v>75</v>
      </c>
      <c r="E57" s="211">
        <v>24</v>
      </c>
      <c r="F57" s="222" t="s">
        <v>39</v>
      </c>
      <c r="G57" s="211">
        <v>0</v>
      </c>
      <c r="H57" s="345">
        <f>IF(E57="","",E57-G57)</f>
        <v>24</v>
      </c>
      <c r="I57" s="346">
        <f>IF(E57="","",S52)</f>
        <v>0.95840000000000003</v>
      </c>
      <c r="J57" s="346">
        <f>J28</f>
        <v>0.98619999999999997</v>
      </c>
      <c r="K57" s="347">
        <f>IF(E57="","",H57*I57)</f>
        <v>23.0016</v>
      </c>
      <c r="L57" s="348">
        <f>IF(A57="","",ROUND(SUM(K57*J57),3))</f>
        <v>22.684000000000001</v>
      </c>
      <c r="M57" s="97">
        <f>(J57-0.0011)*K57</f>
        <v>22.658876159999998</v>
      </c>
      <c r="N57" s="410">
        <f>IF(D62="",0,D62-15)</f>
        <v>17</v>
      </c>
      <c r="O57" s="87">
        <f>IF(J62="",0,J62*1000)</f>
        <v>0</v>
      </c>
      <c r="P57" s="87">
        <f>IF(OR(J62="",J62=0),0,IF(J62&gt;0.8385,186.9696,IF(J62&gt;0.7875,594.5418,IF(J62&gt;0.77,2680.3206,346.4228))))</f>
        <v>0</v>
      </c>
      <c r="Q57" s="87">
        <f>IF(J62="",0,IF(J62&gt;0.8385,0.4862,IF(J62&gt;0.7875,0,IF(J62&gt;0.77,-0.00336312,0.4388))))</f>
        <v>0.43880000000000002</v>
      </c>
      <c r="R57" s="87">
        <f>IF(OR(J62="",J62=0),0,IF(OR(J62&gt;0.7876,J62=0.7876),(P57/O57^2)+(Q57/O57),IF(OR(J62&gt;0.7701,J62=0.7701),(P57/O57^2)+Q57,(P57/O57^2)+(Q57/O57))))</f>
        <v>0</v>
      </c>
      <c r="S57" s="117">
        <f>IF(OR(J62="",J62=0),0,ROUND(EXP(-R57*N57*(1+0.8*R57*N57)),4))</f>
        <v>0</v>
      </c>
    </row>
    <row r="58" spans="1:19">
      <c r="A58" s="173" t="str">
        <f>A29</f>
        <v>HFO SERV 1</v>
      </c>
      <c r="B58" s="174" t="s">
        <v>7</v>
      </c>
      <c r="C58" s="211" t="s">
        <v>46</v>
      </c>
      <c r="D58" s="212">
        <v>94</v>
      </c>
      <c r="E58" s="211">
        <v>24</v>
      </c>
      <c r="F58" s="222" t="s">
        <v>39</v>
      </c>
      <c r="G58" s="211">
        <v>0</v>
      </c>
      <c r="H58" s="345">
        <f>IF(E58="","",E58-G58)</f>
        <v>24</v>
      </c>
      <c r="I58" s="346">
        <f>IF(E58="","",S53)</f>
        <v>0.94510000000000005</v>
      </c>
      <c r="J58" s="346">
        <f>J29</f>
        <v>0.98619999999999997</v>
      </c>
      <c r="K58" s="347">
        <f>IF(E58="","",H58*I58)</f>
        <v>22.682400000000001</v>
      </c>
      <c r="L58" s="348">
        <f>IF(A58="","",ROUND(SUM(K58*J58),3))</f>
        <v>22.369</v>
      </c>
      <c r="M58" s="97">
        <f>(J58-0.0011)*K58</f>
        <v>22.34443224</v>
      </c>
      <c r="N58" s="410">
        <f>IF(D63="",0,D63-15)</f>
        <v>0</v>
      </c>
      <c r="O58" s="87">
        <f>IF(J63="",0,J63*1000)</f>
        <v>0</v>
      </c>
      <c r="P58" s="87">
        <f>IF(OR(J63="",J63=0),0,IF(J63&gt;0.8385,186.9696,IF(J63&gt;0.7875,594.5418,IF(J63&gt;0.77,2680.3206,346.4228))))</f>
        <v>0</v>
      </c>
      <c r="Q58" s="87">
        <f>IF(J63="",0,IF(J63&gt;0.8385,0.4862,IF(J63&gt;0.7875,0,IF(J63&gt;0.77,-0.00336312,0.4388))))</f>
        <v>0.43880000000000002</v>
      </c>
      <c r="R58" s="87">
        <f>IF(OR(J63="",J63=0),0,IF(OR(J63&gt;0.7876,J63=0.7876),(P58/O58^2)+(Q58/O58),IF(OR(J63&gt;0.7701,J63=0.7701),(P58/O58^2)+Q58,(P58/O58^2)+(Q58/O58))))</f>
        <v>0</v>
      </c>
      <c r="S58" s="117">
        <f>IF(OR(J63="",J63=0),0,ROUND(EXP(-R58*N58*(1+0.8*R58*N58)),4))</f>
        <v>0</v>
      </c>
    </row>
    <row r="59" spans="1:19">
      <c r="A59" s="173" t="str">
        <f>A30</f>
        <v>HFO SETT 1</v>
      </c>
      <c r="B59" s="174" t="s">
        <v>7</v>
      </c>
      <c r="C59" s="211" t="s">
        <v>46</v>
      </c>
      <c r="D59" s="212">
        <v>32</v>
      </c>
      <c r="E59" s="211">
        <v>0.1</v>
      </c>
      <c r="F59" s="222" t="s">
        <v>39</v>
      </c>
      <c r="G59" s="211">
        <v>0</v>
      </c>
      <c r="H59" s="345">
        <f>IF(E59="","",E59-G59)</f>
        <v>0.1</v>
      </c>
      <c r="I59" s="346">
        <f>IF(E59="","",S54)</f>
        <v>0.98829999999999996</v>
      </c>
      <c r="J59" s="346">
        <f>J30</f>
        <v>0.98619999999999997</v>
      </c>
      <c r="K59" s="347">
        <f>IF(E59="","",H59*I59)</f>
        <v>9.8830000000000001E-2</v>
      </c>
      <c r="L59" s="348">
        <f>IF(A59="","",ROUND(SUM(K59*J59),3))</f>
        <v>9.7000000000000003E-2</v>
      </c>
      <c r="M59" s="97">
        <f>(J59-0.0011)*K59</f>
        <v>9.7357432999999993E-2</v>
      </c>
      <c r="N59" s="410">
        <f>IF(D64="",0,D64-15)</f>
        <v>0</v>
      </c>
      <c r="O59" s="87">
        <f>IF(J64="",0,J64*1000)</f>
        <v>0</v>
      </c>
      <c r="P59" s="87">
        <f>IF(OR(J64="",J64=0),0,IF(J64&gt;0.8385,186.9696,IF(J64&gt;0.7875,594.5418,IF(J64&gt;0.77,2680.3206,346.4228))))</f>
        <v>0</v>
      </c>
      <c r="Q59" s="87">
        <f>IF(J64="",0,IF(J64&gt;0.8385,0.4862,IF(J64&gt;0.7875,0,IF(J64&gt;0.77,-0.00336312,0.4388))))</f>
        <v>0.43880000000000002</v>
      </c>
      <c r="R59" s="87">
        <f>IF(OR(J64="",J64=0),0,IF(OR(J64&gt;0.7876,J64=0.7876),(P59/O59^2)+(Q59/O59),IF(OR(J64&gt;0.7701,J64=0.7701),(P59/O59^2)+Q59,(P59/O59^2)+(Q59/O59))))</f>
        <v>0</v>
      </c>
      <c r="S59" s="117">
        <f>IF(OR(J64="",J64=0),0,ROUND(EXP(-R59*N59*(1+0.8*R59*N59)),4))</f>
        <v>0</v>
      </c>
    </row>
    <row r="60" spans="1:19">
      <c r="A60" s="173" t="str">
        <f>A31</f>
        <v>OVERFLOW</v>
      </c>
      <c r="B60" s="174" t="s">
        <v>7</v>
      </c>
      <c r="C60" s="211" t="s">
        <v>46</v>
      </c>
      <c r="D60" s="212">
        <v>0</v>
      </c>
      <c r="E60" s="211">
        <v>0</v>
      </c>
      <c r="F60" s="222" t="s">
        <v>39</v>
      </c>
      <c r="G60" s="211">
        <v>0</v>
      </c>
      <c r="H60" s="345">
        <f>IF(E60="","",E60-G60)</f>
        <v>0</v>
      </c>
      <c r="I60" s="346">
        <f>IF(E60="","",S55)</f>
        <v>1.0102</v>
      </c>
      <c r="J60" s="346">
        <f>J31</f>
        <v>0.99080000000000001</v>
      </c>
      <c r="K60" s="347">
        <f>IF(E60="","",H60*I60)</f>
        <v>0</v>
      </c>
      <c r="L60" s="348">
        <f>IF(A60="","",ROUND(SUM(K60*J60),3))</f>
        <v>0</v>
      </c>
      <c r="M60" s="97">
        <f>(J60-0.0011)*K60</f>
        <v>0</v>
      </c>
      <c r="N60" s="410">
        <f>IF(D65="",0,D65-15)</f>
        <v>0</v>
      </c>
      <c r="O60" s="87">
        <f>IF(J65="",0,J65*1000)</f>
        <v>0</v>
      </c>
      <c r="P60" s="87">
        <f>IF(OR(J65="",J65=0),0,IF(J65&gt;0.8385,186.9696,IF(J65&gt;0.7875,594.5418,IF(J65&gt;0.77,2680.3206,346.4228))))</f>
        <v>0</v>
      </c>
      <c r="Q60" s="87">
        <f>IF(J65="",0,IF(J65&gt;0.8385,0.4862,IF(J65&gt;0.7875,0,IF(J65&gt;0.77,-0.00336312,0.4388))))</f>
        <v>0.43880000000000002</v>
      </c>
      <c r="R60" s="87">
        <f>IF(OR(J65="",J65=0),0,IF(OR(J65&gt;0.7876,J65=0.7876),(P60/O60^2)+(Q60/O60),IF(OR(J65&gt;0.7701,J65=0.7701),(P60/O60^2)+Q60,(P60/O60^2)+(Q60/O60))))</f>
        <v>0</v>
      </c>
      <c r="S60" s="117">
        <f>IF(OR(J65="",J65=0),0,ROUND(EXP(-R60*N60*(1+0.8*R60*N60)),4))</f>
        <v>0</v>
      </c>
    </row>
    <row r="61" spans="1:19">
      <c r="A61" s="173" t="str">
        <f>A32</f>
        <v>XXXXX</v>
      </c>
      <c r="B61" s="174" t="s">
        <v>7</v>
      </c>
      <c r="C61" s="385">
        <v>0</v>
      </c>
      <c r="D61" s="386">
        <v>0</v>
      </c>
      <c r="E61" s="385">
        <v>0</v>
      </c>
      <c r="F61" s="387" t="s">
        <v>39</v>
      </c>
      <c r="G61" s="385">
        <v>0</v>
      </c>
      <c r="H61" s="345">
        <f>IF(E61="","",E61-G61)</f>
        <v>0</v>
      </c>
      <c r="I61" s="346">
        <f>IF(E61="","",S56)</f>
        <v>1.0102</v>
      </c>
      <c r="J61" s="346">
        <f>J32</f>
        <v>0.99080000000000001</v>
      </c>
      <c r="K61" s="347">
        <f>IF(E61="","",H61*I61)</f>
        <v>0</v>
      </c>
      <c r="L61" s="348">
        <f>IF(A61="","",ROUND(SUM(K61*J61),3))</f>
        <v>0</v>
      </c>
      <c r="M61" s="97">
        <f>(J61-0.0011)*K61</f>
        <v>0</v>
      </c>
      <c r="N61" s="122">
        <f>SUM(N45:N60)</f>
        <v>293</v>
      </c>
    </row>
    <row r="62" spans="1:19">
      <c r="A62" s="173">
        <f>A33</f>
        <v>0</v>
      </c>
      <c r="B62" s="174" t="s">
        <v>7</v>
      </c>
      <c r="C62" s="385">
        <v>0</v>
      </c>
      <c r="D62" s="386">
        <v>32</v>
      </c>
      <c r="E62" s="385">
        <v>0.1</v>
      </c>
      <c r="F62" s="387"/>
      <c r="G62" s="385"/>
      <c r="H62" s="345">
        <f>IF(E62="","",E62-G62)</f>
        <v>0.1</v>
      </c>
      <c r="I62" s="346">
        <f>IF(E62="","",S57)</f>
        <v>0</v>
      </c>
      <c r="J62" s="346">
        <f>J33</f>
        <v>0</v>
      </c>
      <c r="K62" s="347">
        <f>IF(E62="","",H62*I62)</f>
        <v>0</v>
      </c>
      <c r="L62" s="348"/>
      <c r="M62" s="97">
        <f>IF(E62="",0,(J62-0.0011)*K62)</f>
        <v>0</v>
      </c>
      <c r="N62" s="122"/>
    </row>
    <row r="63" spans="1:19">
      <c r="A63" s="173">
        <f>A34</f>
        <v>0</v>
      </c>
      <c r="B63" s="174" t="s">
        <v>7</v>
      </c>
      <c r="C63" s="385"/>
      <c r="D63" s="386"/>
      <c r="E63" s="385"/>
      <c r="F63" s="387"/>
      <c r="G63" s="385"/>
      <c r="H63" s="345" t="str">
        <f>IF(E63="","",E63-G63)</f>
        <v/>
      </c>
      <c r="I63" s="346" t="str">
        <f>IF(E63="","",S58)</f>
        <v/>
      </c>
      <c r="J63" s="346">
        <f>J34</f>
        <v>0</v>
      </c>
      <c r="K63" s="347" t="str">
        <f>IF(E63="","",H63*I63)</f>
        <v/>
      </c>
      <c r="L63" s="348" t="e">
        <f>IF(A63="","",ROUND(SUM(K63*J63),3))</f>
        <v>#VALUE!</v>
      </c>
      <c r="M63" s="97">
        <f t="shared" ref="M63:M65" si="18">IF(E63="",0,(J63-0.0011)*K63)</f>
        <v>0</v>
      </c>
      <c r="N63" s="126"/>
    </row>
    <row r="64" spans="1:19">
      <c r="A64" s="173">
        <f>A35</f>
        <v>0</v>
      </c>
      <c r="B64" s="174" t="s">
        <v>7</v>
      </c>
      <c r="C64" s="385"/>
      <c r="D64" s="386"/>
      <c r="E64" s="385"/>
      <c r="F64" s="387"/>
      <c r="G64" s="385"/>
      <c r="H64" s="345" t="str">
        <f>IF(E64="","",E64-G64)</f>
        <v/>
      </c>
      <c r="I64" s="346" t="str">
        <f>IF(E64="","",S59)</f>
        <v/>
      </c>
      <c r="J64" s="346">
        <f>J35</f>
        <v>0</v>
      </c>
      <c r="K64" s="347" t="str">
        <f>IF(E64="","",H64*I64)</f>
        <v/>
      </c>
      <c r="L64" s="348" t="e">
        <f>IF(A64="","",ROUND(SUM(K64*J64),3))</f>
        <v>#VALUE!</v>
      </c>
      <c r="M64" s="97">
        <f t="shared" si="18"/>
        <v>0</v>
      </c>
      <c r="N64" s="117"/>
    </row>
    <row r="65" spans="1:21">
      <c r="A65" s="173">
        <f>A36</f>
        <v>0</v>
      </c>
      <c r="B65" s="174" t="s">
        <v>7</v>
      </c>
      <c r="C65" s="385"/>
      <c r="D65" s="386"/>
      <c r="E65" s="385"/>
      <c r="F65" s="387"/>
      <c r="G65" s="385"/>
      <c r="H65" s="345" t="str">
        <f>IF(E65="","",E65-G65)</f>
        <v/>
      </c>
      <c r="I65" s="346" t="str">
        <f>IF(E65="","",S60)</f>
        <v/>
      </c>
      <c r="J65" s="346">
        <f>J36</f>
        <v>0</v>
      </c>
      <c r="K65" s="347" t="str">
        <f>IF(E65="","",H65*I65)</f>
        <v/>
      </c>
      <c r="L65" s="348" t="e">
        <f>IF(A65="","",ROUND(SUM(K65*J65),3))</f>
        <v>#VALUE!</v>
      </c>
      <c r="M65" s="97">
        <f t="shared" si="18"/>
        <v>0</v>
      </c>
    </row>
    <row r="66" spans="1:21">
      <c r="A66" s="173">
        <f>A37</f>
        <v>0</v>
      </c>
      <c r="B66" s="174" t="s">
        <v>7</v>
      </c>
      <c r="C66" s="388"/>
      <c r="D66" s="388"/>
      <c r="E66" s="388"/>
      <c r="F66" s="388"/>
      <c r="G66" s="388"/>
      <c r="H66" s="345" t="str">
        <f>IF(E66="","",E66-G66)</f>
        <v/>
      </c>
      <c r="I66" s="346" t="str">
        <f>IF(E66="","",S61)</f>
        <v/>
      </c>
      <c r="J66" s="346">
        <f>J37</f>
        <v>0</v>
      </c>
      <c r="K66" s="347" t="str">
        <f>IF(E66="","",H66*I66)</f>
        <v/>
      </c>
      <c r="L66" s="348" t="e">
        <f>IF(A66="","",ROUND(SUM(K66*J66),3))</f>
        <v>#VALUE!</v>
      </c>
      <c r="M66" s="97" t="e">
        <f>(J66-0.0011)*K66</f>
        <v>#VALUE!</v>
      </c>
      <c r="O66" s="128"/>
    </row>
    <row r="67" spans="1:21">
      <c r="A67" s="173">
        <f>A38</f>
        <v>0</v>
      </c>
      <c r="B67" s="174" t="s">
        <v>7</v>
      </c>
      <c r="C67" s="388"/>
      <c r="D67" s="388"/>
      <c r="E67" s="388"/>
      <c r="F67" s="388"/>
      <c r="G67" s="388"/>
      <c r="H67" s="345" t="str">
        <f>IF(E67="","",E67-G67)</f>
        <v/>
      </c>
      <c r="I67" s="346" t="str">
        <f>IF(E67="","",S62)</f>
        <v/>
      </c>
      <c r="J67" s="346">
        <f>J38</f>
        <v>0</v>
      </c>
      <c r="K67" s="347" t="str">
        <f>IF(E67="","",H67*I67)</f>
        <v/>
      </c>
      <c r="L67" s="348" t="e">
        <f>IF(A67="","",ROUND(SUM(K67*J67),3))</f>
        <v>#VALUE!</v>
      </c>
      <c r="M67" s="97" t="e">
        <f>(J67-0.0011)*K67</f>
        <v>#VALUE!</v>
      </c>
    </row>
    <row r="68" spans="1:21">
      <c r="A68" s="173">
        <f>A39</f>
        <v>0</v>
      </c>
      <c r="B68" s="174" t="s">
        <v>7</v>
      </c>
      <c r="C68" s="388"/>
      <c r="D68" s="388"/>
      <c r="E68" s="388"/>
      <c r="F68" s="388"/>
      <c r="G68" s="388"/>
      <c r="H68" s="345" t="str">
        <f>IF(E68="","",E68-G68)</f>
        <v/>
      </c>
      <c r="I68" s="346" t="str">
        <f>IF(E68="","",S63)</f>
        <v/>
      </c>
      <c r="J68" s="346">
        <f>J39</f>
        <v>0</v>
      </c>
      <c r="K68" s="347" t="str">
        <f>IF(E68="","",H68*I68)</f>
        <v/>
      </c>
      <c r="L68" s="348" t="e">
        <f>IF(A68="","",ROUND(SUM(K68*J68),3))</f>
        <v>#VALUE!</v>
      </c>
      <c r="M68" s="97" t="e">
        <f>(J68-0.0011)*K68</f>
        <v>#VALUE!</v>
      </c>
    </row>
    <row r="69" spans="1:21">
      <c r="A69" s="173">
        <f>A40</f>
        <v>0</v>
      </c>
      <c r="B69" s="174" t="s">
        <v>7</v>
      </c>
      <c r="C69" s="388"/>
      <c r="D69" s="388"/>
      <c r="E69" s="388"/>
      <c r="F69" s="388"/>
      <c r="G69" s="388"/>
      <c r="H69" s="345" t="str">
        <f>IF(E69="","",E69-G69)</f>
        <v/>
      </c>
      <c r="I69" s="346" t="str">
        <f>IF(E69="","",S64)</f>
        <v/>
      </c>
      <c r="J69" s="346">
        <f>J40</f>
        <v>0</v>
      </c>
      <c r="K69" s="347" t="str">
        <f>IF(E69="","",H69*I69)</f>
        <v/>
      </c>
      <c r="L69" s="348" t="e">
        <f>IF(A69="","",ROUND(SUM(K69*J69),3))</f>
        <v>#VALUE!</v>
      </c>
      <c r="M69" s="97" t="e">
        <f>(J69-0.0011)*K69</f>
        <v>#VALUE!</v>
      </c>
    </row>
    <row r="70" spans="1:21" ht="14.4" thickBot="1">
      <c r="A70" s="446">
        <f>A41</f>
        <v>0</v>
      </c>
      <c r="B70" s="447" t="s">
        <v>7</v>
      </c>
      <c r="C70" s="445"/>
      <c r="D70" s="445"/>
      <c r="E70" s="445"/>
      <c r="F70" s="445"/>
      <c r="G70" s="445"/>
      <c r="H70" s="430" t="str">
        <f>IF(E70="","",E70-G70)</f>
        <v/>
      </c>
      <c r="I70" s="353" t="str">
        <f>IF(E70="","",S65)</f>
        <v/>
      </c>
      <c r="J70" s="353">
        <f>J41</f>
        <v>0</v>
      </c>
      <c r="K70" s="352" t="str">
        <f>IF(E70="","",H70*I70)</f>
        <v/>
      </c>
      <c r="L70" s="448" t="e">
        <f>IF(A70="","",ROUND(SUM(K70*J70),3))</f>
        <v>#VALUE!</v>
      </c>
      <c r="M70" s="125" t="e">
        <f>(J70-0.0011)*K70</f>
        <v>#VALUE!</v>
      </c>
      <c r="U70" s="100"/>
    </row>
    <row r="71" spans="1:21" ht="14.4" thickBot="1">
      <c r="A71" s="163" t="s">
        <v>57</v>
      </c>
      <c r="B71" s="164"/>
      <c r="C71" s="164"/>
      <c r="D71" s="164"/>
      <c r="E71" s="165"/>
      <c r="F71" s="169"/>
      <c r="G71" s="169"/>
      <c r="H71" s="166">
        <f>SUM(H50:H65)</f>
        <v>1285.6099999999999</v>
      </c>
      <c r="I71" s="164"/>
      <c r="J71" s="167"/>
      <c r="K71" s="168">
        <f>SUM(K50:K65)</f>
        <v>1267.2315819999997</v>
      </c>
      <c r="L71" s="161" t="e">
        <f>SUM(L50:L65)</f>
        <v>#VALUE!</v>
      </c>
      <c r="M71" s="170">
        <f>SUM(M50:M65)</f>
        <v>1250.3394771902001</v>
      </c>
      <c r="N71" s="263"/>
      <c r="O71" s="263"/>
      <c r="U71" s="100"/>
    </row>
    <row r="72" spans="1:21" ht="12.75" customHeight="1"/>
    <row r="73" spans="1:21" ht="12.75" customHeight="1"/>
    <row r="74" spans="1:21" ht="12.75" customHeight="1"/>
    <row r="76" spans="1:21">
      <c r="H76" s="101"/>
      <c r="I76" s="100"/>
      <c r="J76" s="100"/>
      <c r="K76" s="101"/>
      <c r="L76" s="126"/>
      <c r="M76" s="126"/>
    </row>
    <row r="78" spans="1:21">
      <c r="A78" s="95" t="s">
        <v>58</v>
      </c>
      <c r="C78" s="203"/>
    </row>
    <row r="79" spans="1:21">
      <c r="A79" s="87" t="s">
        <v>59</v>
      </c>
      <c r="C79" s="220" t="s">
        <v>60</v>
      </c>
      <c r="D79" s="176"/>
      <c r="E79" s="176"/>
      <c r="J79" s="177"/>
      <c r="K79" s="150" t="s">
        <v>61</v>
      </c>
      <c r="L79" s="150"/>
      <c r="M79" s="150"/>
    </row>
    <row r="80" spans="1:21" ht="14.4">
      <c r="A80" s="87" t="s">
        <v>62</v>
      </c>
      <c r="C80" s="220" t="s">
        <v>63</v>
      </c>
      <c r="D80" s="176"/>
      <c r="E80" s="176"/>
      <c r="K80" s="127" t="s">
        <v>64</v>
      </c>
      <c r="L80" s="219">
        <v>580</v>
      </c>
      <c r="M80" s="127" t="s">
        <v>65</v>
      </c>
    </row>
    <row r="81" spans="1:13" ht="14.4">
      <c r="A81" s="87" t="s">
        <v>66</v>
      </c>
      <c r="C81" s="203" t="s">
        <v>7</v>
      </c>
      <c r="K81" s="129" t="s">
        <v>67</v>
      </c>
      <c r="L81" s="178" t="e">
        <f>M71-M42</f>
        <v>#VALUE!</v>
      </c>
      <c r="M81" s="129" t="s">
        <v>65</v>
      </c>
    </row>
    <row r="82" spans="1:13" ht="14.4">
      <c r="A82" s="87" t="s">
        <v>68</v>
      </c>
      <c r="C82" s="221" t="s">
        <v>69</v>
      </c>
      <c r="D82" s="130"/>
      <c r="E82" s="131"/>
      <c r="F82" s="131"/>
      <c r="G82" s="131"/>
      <c r="K82" s="132" t="s">
        <v>70</v>
      </c>
      <c r="L82" s="179" t="e">
        <f>L81-L80</f>
        <v>#VALUE!</v>
      </c>
      <c r="M82" s="132" t="s">
        <v>65</v>
      </c>
    </row>
    <row r="83" spans="1:13" ht="14.4">
      <c r="F83" s="133"/>
      <c r="G83" s="133"/>
      <c r="H83" s="133"/>
      <c r="K83" s="180"/>
      <c r="L83" s="181" t="e">
        <f>(L82/L81)*100</f>
        <v>#VALUE!</v>
      </c>
      <c r="M83" s="180" t="s">
        <v>71</v>
      </c>
    </row>
    <row r="84" spans="1:13" ht="15.6">
      <c r="E84" s="182"/>
      <c r="F84" s="182"/>
      <c r="G84" s="182"/>
      <c r="H84" s="100"/>
      <c r="I84" s="100"/>
    </row>
    <row r="85" spans="1:13">
      <c r="B85" s="134"/>
      <c r="C85" s="134"/>
      <c r="D85" s="134"/>
      <c r="I85" s="134"/>
      <c r="J85" s="134"/>
    </row>
    <row r="86" spans="1:13" ht="15.6">
      <c r="E86" s="183"/>
    </row>
    <row r="87" spans="1:13" ht="15.6">
      <c r="B87" s="183"/>
      <c r="C87" s="183"/>
      <c r="D87" s="183"/>
      <c r="E87" s="183"/>
      <c r="F87" s="183"/>
      <c r="G87" s="183"/>
      <c r="H87" s="183"/>
      <c r="I87" s="183"/>
      <c r="J87" s="183"/>
    </row>
    <row r="88" spans="1:13" ht="15.6">
      <c r="E88" s="183"/>
    </row>
    <row r="89" spans="1:13" ht="15.6"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2"/>
    </row>
    <row r="90" spans="1:13" ht="15.6">
      <c r="B90" s="183"/>
      <c r="C90" s="183"/>
      <c r="D90" s="183"/>
      <c r="E90" s="183"/>
      <c r="F90" s="183"/>
      <c r="G90" s="183"/>
      <c r="H90" s="183"/>
      <c r="I90" s="183"/>
      <c r="J90" s="183"/>
      <c r="K90" s="184"/>
      <c r="L90" s="183"/>
      <c r="M90" s="182"/>
    </row>
    <row r="91" spans="1:13" ht="15.6"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2"/>
    </row>
    <row r="92" spans="1:13">
      <c r="D92" s="203"/>
      <c r="K92" s="203"/>
    </row>
    <row r="96" spans="1:13">
      <c r="B96" s="135" t="s">
        <v>72</v>
      </c>
      <c r="C96" s="135"/>
      <c r="D96" s="145" t="s">
        <v>73</v>
      </c>
      <c r="E96" s="145"/>
      <c r="F96" s="145"/>
      <c r="J96" s="135" t="s">
        <v>74</v>
      </c>
      <c r="K96" s="185" t="s">
        <v>75</v>
      </c>
      <c r="L96" s="185"/>
      <c r="M96" s="185"/>
    </row>
  </sheetData>
  <sheetProtection selectLockedCells="1"/>
  <mergeCells count="23">
    <mergeCell ref="N71:O71"/>
    <mergeCell ref="F19:G19"/>
    <mergeCell ref="C19:C20"/>
    <mergeCell ref="E19:E20"/>
    <mergeCell ref="H19:H20"/>
    <mergeCell ref="K19:K20"/>
    <mergeCell ref="I19:I20"/>
    <mergeCell ref="D19:D20"/>
    <mergeCell ref="I42:J42"/>
    <mergeCell ref="F42:G42"/>
    <mergeCell ref="A42:E42"/>
    <mergeCell ref="J19:J20"/>
    <mergeCell ref="G2:M2"/>
    <mergeCell ref="G3:M3"/>
    <mergeCell ref="G4:M4"/>
    <mergeCell ref="G5:K5"/>
    <mergeCell ref="L19:L20"/>
    <mergeCell ref="M19:M20"/>
    <mergeCell ref="A6:K6"/>
    <mergeCell ref="C11:D11"/>
    <mergeCell ref="L18:M18"/>
    <mergeCell ref="A19:A20"/>
    <mergeCell ref="B19:B20"/>
  </mergeCells>
  <phoneticPr fontId="0" type="noConversion"/>
  <hyperlinks>
    <hyperlink ref="G4" r:id="rId1" xr:uid="{00000000-0004-0000-0000-000000000000}"/>
  </hyperlinks>
  <printOptions horizontalCentered="1"/>
  <pageMargins left="0.31496062992125984" right="0.23622047244094491" top="0.98425196850393704" bottom="0.98425196850393704" header="0.51181102362204722" footer="0.51181102362204722"/>
  <pageSetup paperSize="9" scale="71" orientation="portrait" blackAndWhite="1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77"/>
  <sheetViews>
    <sheetView showGridLines="0" topLeftCell="A34" zoomScale="87" zoomScaleNormal="58" zoomScaleSheetLayoutView="100" workbookViewId="0">
      <selection activeCell="D37" sqref="D37"/>
    </sheetView>
  </sheetViews>
  <sheetFormatPr defaultColWidth="9.109375" defaultRowHeight="13.8"/>
  <cols>
    <col min="1" max="1" width="1" style="6" customWidth="1"/>
    <col min="2" max="2" width="9.44140625" style="6" customWidth="1"/>
    <col min="3" max="3" width="7.77734375" style="6" customWidth="1"/>
    <col min="4" max="4" width="10.88671875" style="6" customWidth="1"/>
    <col min="5" max="5" width="8.44140625" style="6" customWidth="1"/>
    <col min="6" max="6" width="9.44140625" style="6" customWidth="1"/>
    <col min="7" max="7" width="5" style="6" customWidth="1"/>
    <col min="8" max="8" width="7" style="6" customWidth="1"/>
    <col min="9" max="9" width="11.21875" style="6" customWidth="1"/>
    <col min="10" max="10" width="9.88671875" style="6" customWidth="1"/>
    <col min="11" max="11" width="11.109375" style="6" customWidth="1"/>
    <col min="12" max="12" width="10.109375" style="6" customWidth="1"/>
    <col min="13" max="13" width="9.21875" style="6" customWidth="1"/>
    <col min="14" max="14" width="9.44140625" style="6" customWidth="1"/>
    <col min="15" max="15" width="10.44140625" style="6" hidden="1" customWidth="1"/>
    <col min="16" max="16" width="10.88671875" style="6" hidden="1" customWidth="1"/>
    <col min="17" max="17" width="9.88671875" style="6" hidden="1" customWidth="1"/>
    <col min="18" max="18" width="11.109375" style="6" hidden="1" customWidth="1"/>
    <col min="19" max="19" width="11.77734375" style="6" hidden="1" customWidth="1"/>
    <col min="20" max="20" width="2.88671875" style="6" hidden="1" customWidth="1"/>
    <col min="21" max="16384" width="9.109375" style="6"/>
  </cols>
  <sheetData>
    <row r="1" spans="2:14" ht="12.75" customHeight="1">
      <c r="B1" s="5"/>
      <c r="C1" s="5"/>
      <c r="D1" s="5"/>
      <c r="E1" s="5"/>
      <c r="F1" s="5"/>
      <c r="G1" s="5"/>
      <c r="H1" s="230"/>
      <c r="I1" s="230"/>
      <c r="J1" s="230"/>
      <c r="K1" s="230"/>
      <c r="L1" s="230"/>
      <c r="M1" s="230"/>
      <c r="N1" s="160"/>
    </row>
    <row r="2" spans="2:14" ht="12.75" customHeight="1">
      <c r="B2" s="5"/>
      <c r="C2" s="5"/>
      <c r="D2" s="5"/>
      <c r="E2" s="5"/>
      <c r="F2" s="5"/>
      <c r="G2" s="5"/>
      <c r="H2" s="230" t="s">
        <v>0</v>
      </c>
      <c r="I2" s="230"/>
      <c r="J2" s="230"/>
      <c r="K2" s="230"/>
      <c r="L2" s="230"/>
      <c r="M2" s="230"/>
      <c r="N2" s="230"/>
    </row>
    <row r="3" spans="2:14" ht="12.75" customHeight="1">
      <c r="B3" s="20"/>
      <c r="C3" s="20"/>
      <c r="D3" s="20"/>
      <c r="E3" s="20"/>
      <c r="F3" s="20"/>
      <c r="G3" s="20"/>
      <c r="H3" s="21"/>
      <c r="I3" s="236" t="s">
        <v>1</v>
      </c>
      <c r="J3" s="236"/>
      <c r="K3" s="236"/>
      <c r="L3" s="236"/>
      <c r="M3" s="236"/>
      <c r="N3" s="236"/>
    </row>
    <row r="4" spans="2:14" ht="12.75" customHeight="1">
      <c r="B4" s="20"/>
      <c r="C4" s="20"/>
      <c r="D4" s="20"/>
      <c r="E4" s="20"/>
      <c r="F4" s="20"/>
      <c r="G4" s="20"/>
      <c r="H4" s="237" t="s">
        <v>2</v>
      </c>
      <c r="I4" s="237"/>
      <c r="J4" s="237"/>
      <c r="K4" s="237"/>
      <c r="L4" s="237"/>
      <c r="M4" s="237"/>
      <c r="N4" s="237"/>
    </row>
    <row r="5" spans="2:14" ht="12.75" customHeight="1">
      <c r="B5" s="20"/>
      <c r="C5" s="20"/>
      <c r="D5" s="20"/>
      <c r="E5" s="20"/>
      <c r="F5" s="20"/>
      <c r="G5" s="20"/>
      <c r="H5" s="238"/>
      <c r="I5" s="238"/>
      <c r="J5" s="238"/>
      <c r="K5" s="238"/>
      <c r="L5" s="238"/>
      <c r="M5" s="238"/>
      <c r="N5" s="187"/>
    </row>
    <row r="6" spans="2:14" ht="12.75" customHeight="1"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  <c r="N6" s="87"/>
    </row>
    <row r="7" spans="2:14">
      <c r="B7" s="232" t="s">
        <v>76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87"/>
      <c r="N7" s="87"/>
    </row>
    <row r="8" spans="2:14"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</row>
    <row r="9" spans="2:14">
      <c r="B9" s="87" t="s">
        <v>4</v>
      </c>
      <c r="C9" s="87"/>
      <c r="D9" s="406" t="str">
        <f>'Vessel Ullage'!C8</f>
        <v>Densa Pelican</v>
      </c>
      <c r="E9" s="87"/>
      <c r="F9" s="87"/>
      <c r="G9" s="87"/>
      <c r="H9" s="88" t="s">
        <v>6</v>
      </c>
      <c r="I9" s="87"/>
      <c r="J9" s="406" t="str">
        <f>'Vessel Ullage'!I8</f>
        <v>VLSFO</v>
      </c>
      <c r="K9" s="87"/>
      <c r="L9" s="87"/>
      <c r="M9" s="87"/>
      <c r="N9" s="87"/>
    </row>
    <row r="10" spans="2:14">
      <c r="B10" s="87"/>
      <c r="C10" s="87"/>
      <c r="D10" s="87"/>
      <c r="E10" s="87"/>
      <c r="F10" s="87"/>
      <c r="G10" s="87"/>
      <c r="H10" s="87" t="s">
        <v>8</v>
      </c>
      <c r="I10" s="87"/>
      <c r="J10" s="406" t="str">
        <f>'Vessel Ullage'!I9</f>
        <v>Santos Port - LOCAL</v>
      </c>
      <c r="K10" s="87"/>
      <c r="L10" s="87"/>
      <c r="M10" s="87"/>
      <c r="N10" s="87"/>
    </row>
    <row r="11" spans="2:14">
      <c r="B11" s="87" t="s">
        <v>10</v>
      </c>
      <c r="C11" s="87"/>
      <c r="D11" s="407" t="str">
        <f>'Vessel Ullage'!C10</f>
        <v>XXXXXXXXXXXX</v>
      </c>
      <c r="E11" s="172"/>
      <c r="F11" s="87"/>
      <c r="G11" s="87"/>
      <c r="H11" s="87" t="s">
        <v>12</v>
      </c>
      <c r="I11" s="87"/>
      <c r="J11" s="406" t="str">
        <f>'Vessel Ullage'!I10</f>
        <v>January 00th, 2023</v>
      </c>
      <c r="K11" s="87"/>
      <c r="L11" s="87"/>
      <c r="M11" s="87"/>
      <c r="N11" s="87"/>
    </row>
    <row r="12" spans="2:14">
      <c r="B12" s="87"/>
      <c r="C12" s="87"/>
      <c r="D12" s="231"/>
      <c r="E12" s="231"/>
      <c r="F12" s="87"/>
      <c r="G12" s="87"/>
      <c r="H12" s="87" t="s">
        <v>14</v>
      </c>
      <c r="I12" s="87"/>
      <c r="J12" s="406" t="str">
        <f>'Vessel Ullage'!I11</f>
        <v>00:00 x 00:00 h/LT</v>
      </c>
      <c r="K12" s="87"/>
      <c r="L12" s="87"/>
      <c r="M12" s="87"/>
      <c r="N12" s="87"/>
    </row>
    <row r="13" spans="2:14">
      <c r="B13" s="87"/>
      <c r="C13" s="87"/>
      <c r="D13" s="87"/>
      <c r="E13" s="87"/>
      <c r="F13" s="87"/>
      <c r="G13" s="87"/>
      <c r="H13" s="87"/>
      <c r="I13" s="87"/>
      <c r="J13" s="231"/>
      <c r="K13" s="231"/>
      <c r="L13" s="231"/>
      <c r="M13" s="87"/>
      <c r="N13" s="87"/>
    </row>
    <row r="14" spans="2:14">
      <c r="B14" s="87"/>
      <c r="C14" s="87"/>
      <c r="D14" s="87"/>
      <c r="E14" s="87"/>
      <c r="F14" s="87"/>
      <c r="G14" s="87"/>
      <c r="H14" s="87"/>
      <c r="I14" s="87"/>
      <c r="J14" s="89"/>
      <c r="K14" s="89"/>
      <c r="L14" s="89"/>
      <c r="M14" s="87"/>
      <c r="N14" s="87"/>
    </row>
    <row r="15" spans="2:14" ht="14.4" thickBot="1"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</row>
    <row r="16" spans="2:14" ht="15.6" thickBot="1">
      <c r="B16" s="244" t="s">
        <v>77</v>
      </c>
      <c r="C16" s="245"/>
      <c r="D16" s="245"/>
      <c r="E16" s="245"/>
      <c r="F16" s="245"/>
      <c r="G16" s="245"/>
      <c r="H16" s="245"/>
      <c r="I16" s="246"/>
      <c r="J16" s="90" t="s">
        <v>78</v>
      </c>
      <c r="K16" s="401">
        <v>5008777.5999999996</v>
      </c>
      <c r="L16" s="402"/>
      <c r="M16" s="402"/>
      <c r="N16" s="91" t="s">
        <v>79</v>
      </c>
    </row>
    <row r="17" spans="2:20" s="23" customFormat="1" ht="14.4" thickBot="1">
      <c r="B17" s="92" t="s">
        <v>17</v>
      </c>
      <c r="C17" s="405">
        <v>4.0999999999999996</v>
      </c>
      <c r="D17" s="93" t="s">
        <v>18</v>
      </c>
      <c r="E17" s="93" t="s">
        <v>19</v>
      </c>
      <c r="F17" s="404">
        <v>4.55</v>
      </c>
      <c r="G17" s="93" t="s">
        <v>18</v>
      </c>
      <c r="H17" s="93" t="s">
        <v>20</v>
      </c>
      <c r="I17" s="400">
        <v>0.45</v>
      </c>
      <c r="J17" s="94" t="s">
        <v>21</v>
      </c>
      <c r="K17" s="95"/>
      <c r="L17" s="403" t="s">
        <v>80</v>
      </c>
      <c r="M17" s="250" t="s">
        <v>23</v>
      </c>
      <c r="N17" s="251"/>
      <c r="O17" s="6"/>
      <c r="P17" s="6"/>
      <c r="Q17" s="6"/>
      <c r="R17" s="6"/>
      <c r="S17" s="6"/>
      <c r="T17" s="6"/>
    </row>
    <row r="18" spans="2:20" s="22" customFormat="1">
      <c r="B18" s="233" t="s">
        <v>24</v>
      </c>
      <c r="C18" s="249" t="s">
        <v>25</v>
      </c>
      <c r="D18" s="234" t="s">
        <v>81</v>
      </c>
      <c r="E18" s="234" t="s">
        <v>54</v>
      </c>
      <c r="F18" s="235" t="s">
        <v>82</v>
      </c>
      <c r="G18" s="240" t="s">
        <v>29</v>
      </c>
      <c r="H18" s="241"/>
      <c r="I18" s="234" t="s">
        <v>30</v>
      </c>
      <c r="J18" s="234" t="s">
        <v>31</v>
      </c>
      <c r="K18" s="234" t="s">
        <v>83</v>
      </c>
      <c r="L18" s="239" t="s">
        <v>84</v>
      </c>
      <c r="M18" s="252" t="s">
        <v>34</v>
      </c>
      <c r="N18" s="253" t="s">
        <v>35</v>
      </c>
      <c r="O18" s="6"/>
      <c r="P18" s="6"/>
      <c r="Q18" s="6"/>
      <c r="R18" s="6"/>
      <c r="S18" s="6"/>
      <c r="T18" s="6"/>
    </row>
    <row r="19" spans="2:20" s="22" customFormat="1">
      <c r="B19" s="337"/>
      <c r="C19" s="338"/>
      <c r="D19" s="339"/>
      <c r="E19" s="339"/>
      <c r="F19" s="340"/>
      <c r="G19" s="341" t="s">
        <v>36</v>
      </c>
      <c r="H19" s="341" t="s">
        <v>37</v>
      </c>
      <c r="I19" s="339"/>
      <c r="J19" s="339"/>
      <c r="K19" s="339"/>
      <c r="L19" s="342"/>
      <c r="M19" s="343"/>
      <c r="N19" s="344"/>
      <c r="O19" s="6"/>
      <c r="P19" s="6"/>
      <c r="Q19" s="6"/>
      <c r="R19" s="6"/>
      <c r="S19" s="6"/>
      <c r="T19" s="6"/>
    </row>
    <row r="20" spans="2:20">
      <c r="B20" s="394" t="s">
        <v>85</v>
      </c>
      <c r="C20" s="387" t="s">
        <v>7</v>
      </c>
      <c r="D20" s="385">
        <v>0.99299999999999999</v>
      </c>
      <c r="E20" s="386">
        <v>40.5</v>
      </c>
      <c r="F20" s="385">
        <v>448.67399999999998</v>
      </c>
      <c r="G20" s="387" t="s">
        <v>39</v>
      </c>
      <c r="H20" s="385">
        <v>0</v>
      </c>
      <c r="I20" s="345">
        <f t="shared" ref="I20:I34" si="0">IF(F20="","",F20-H20)</f>
        <v>448.67399999999998</v>
      </c>
      <c r="J20" s="346">
        <f t="shared" ref="J20:J34" si="1">IF(F20="","",T20)</f>
        <v>0.98150000000000004</v>
      </c>
      <c r="K20" s="213">
        <f>B63</f>
        <v>0.94750000000000001</v>
      </c>
      <c r="L20" s="347">
        <f t="shared" ref="L20:L34" si="2">IF(F20="","",I20*J20)</f>
        <v>440.37353100000001</v>
      </c>
      <c r="M20" s="348">
        <f t="shared" ref="M20:M34" si="3">IF(B20="","",ROUND(SUM(L20*K20),3))</f>
        <v>417.25400000000002</v>
      </c>
      <c r="N20" s="97">
        <f t="shared" ref="N20:N27" si="4">(K20-0.0011)*L20</f>
        <v>416.76950973840002</v>
      </c>
      <c r="O20" s="11">
        <f>IF(E20="","",E20-15)</f>
        <v>25.5</v>
      </c>
      <c r="P20" s="6">
        <f t="shared" ref="P20:P27" si="5">K20*1000</f>
        <v>947.5</v>
      </c>
      <c r="Q20" s="6">
        <f t="shared" ref="Q20:Q27" si="6">IF(K20&gt;0.8385,186.9696,IF(K20&gt;0.7875,594.5418,IF(K20&gt;0.77,2680.3206,346.4228)))</f>
        <v>186.96960000000001</v>
      </c>
      <c r="R20" s="6">
        <f t="shared" ref="R20:R27" si="7">IF(K20&gt;0.8385,0.4862,IF(K20&gt;0.7875,0,IF(K20&gt;0.77,-0.00336312,0.4388)))</f>
        <v>0.48620000000000002</v>
      </c>
      <c r="S20" s="6">
        <f t="shared" ref="S20:S27" si="8">IF(OR(K20&gt;0.7876,K20=0.7876),(Q20/P20^2)+(R20/P20),IF(OR(K20&gt;0.7701,K20=0.7701),(Q20/P20^2)+R20,(Q20/P20^2)+(R20/P20)))</f>
        <v>7.2140305344574318E-4</v>
      </c>
      <c r="T20" s="12">
        <f t="shared" ref="T20:T27" si="9">ROUND(EXP(-S20*O20*(1+0.8*S20*O20)),4)</f>
        <v>0.98150000000000004</v>
      </c>
    </row>
    <row r="21" spans="2:20">
      <c r="B21" s="394" t="s">
        <v>86</v>
      </c>
      <c r="C21" s="387" t="s">
        <v>7</v>
      </c>
      <c r="D21" s="385">
        <v>1.022</v>
      </c>
      <c r="E21" s="386">
        <v>40.5</v>
      </c>
      <c r="F21" s="385">
        <v>446.125</v>
      </c>
      <c r="G21" s="387" t="s">
        <v>39</v>
      </c>
      <c r="H21" s="385">
        <v>0</v>
      </c>
      <c r="I21" s="345">
        <f t="shared" si="0"/>
        <v>446.125</v>
      </c>
      <c r="J21" s="346">
        <f t="shared" si="1"/>
        <v>0.98150000000000004</v>
      </c>
      <c r="K21" s="213">
        <f>B63</f>
        <v>0.94750000000000001</v>
      </c>
      <c r="L21" s="347">
        <f t="shared" si="2"/>
        <v>437.87168750000001</v>
      </c>
      <c r="M21" s="348">
        <f t="shared" si="3"/>
        <v>414.88299999999998</v>
      </c>
      <c r="N21" s="97">
        <f t="shared" si="4"/>
        <v>414.40176504999999</v>
      </c>
      <c r="O21" s="11">
        <f t="shared" ref="O21:O27" si="10">E21-15</f>
        <v>25.5</v>
      </c>
      <c r="P21" s="6">
        <f t="shared" si="5"/>
        <v>947.5</v>
      </c>
      <c r="Q21" s="6">
        <f t="shared" si="6"/>
        <v>186.96960000000001</v>
      </c>
      <c r="R21" s="6">
        <f t="shared" si="7"/>
        <v>0.48620000000000002</v>
      </c>
      <c r="S21" s="6">
        <f t="shared" si="8"/>
        <v>7.2140305344574318E-4</v>
      </c>
      <c r="T21" s="12">
        <f t="shared" si="9"/>
        <v>0.98150000000000004</v>
      </c>
    </row>
    <row r="22" spans="2:20">
      <c r="B22" s="394" t="s">
        <v>87</v>
      </c>
      <c r="C22" s="387" t="s">
        <v>7</v>
      </c>
      <c r="D22" s="385">
        <v>0.94599999999999995</v>
      </c>
      <c r="E22" s="386">
        <v>44.5</v>
      </c>
      <c r="F22" s="385">
        <v>472.48099999999999</v>
      </c>
      <c r="G22" s="387"/>
      <c r="H22" s="385">
        <v>0</v>
      </c>
      <c r="I22" s="345">
        <f t="shared" si="0"/>
        <v>472.48099999999999</v>
      </c>
      <c r="J22" s="346">
        <f t="shared" si="1"/>
        <v>0.97860000000000003</v>
      </c>
      <c r="K22" s="213">
        <f>B63</f>
        <v>0.94750000000000001</v>
      </c>
      <c r="L22" s="347">
        <f t="shared" si="2"/>
        <v>462.36990659999998</v>
      </c>
      <c r="M22" s="348">
        <f t="shared" si="3"/>
        <v>438.09500000000003</v>
      </c>
      <c r="N22" s="97">
        <f t="shared" si="4"/>
        <v>437.58687960623996</v>
      </c>
      <c r="O22" s="11">
        <f t="shared" si="10"/>
        <v>29.5</v>
      </c>
      <c r="P22" s="6">
        <f t="shared" si="5"/>
        <v>947.5</v>
      </c>
      <c r="Q22" s="6">
        <f t="shared" si="6"/>
        <v>186.96960000000001</v>
      </c>
      <c r="R22" s="6">
        <f t="shared" si="7"/>
        <v>0.48620000000000002</v>
      </c>
      <c r="S22" s="6">
        <f t="shared" si="8"/>
        <v>7.2140305344574318E-4</v>
      </c>
      <c r="T22" s="12">
        <f t="shared" si="9"/>
        <v>0.97860000000000003</v>
      </c>
    </row>
    <row r="23" spans="2:20">
      <c r="B23" s="394" t="s">
        <v>88</v>
      </c>
      <c r="C23" s="387" t="s">
        <v>7</v>
      </c>
      <c r="D23" s="385">
        <v>1.026</v>
      </c>
      <c r="E23" s="386">
        <v>44.5</v>
      </c>
      <c r="F23" s="385">
        <v>465.274</v>
      </c>
      <c r="G23" s="387" t="s">
        <v>39</v>
      </c>
      <c r="H23" s="385">
        <v>0</v>
      </c>
      <c r="I23" s="345">
        <f t="shared" si="0"/>
        <v>465.274</v>
      </c>
      <c r="J23" s="346">
        <f t="shared" si="1"/>
        <v>0.97860000000000003</v>
      </c>
      <c r="K23" s="213">
        <f>B63</f>
        <v>0.94750000000000001</v>
      </c>
      <c r="L23" s="347">
        <f t="shared" si="2"/>
        <v>455.31713640000004</v>
      </c>
      <c r="M23" s="348">
        <f t="shared" si="3"/>
        <v>431.41300000000001</v>
      </c>
      <c r="N23" s="97">
        <f t="shared" si="4"/>
        <v>430.91213788896005</v>
      </c>
      <c r="O23" s="11">
        <f t="shared" si="10"/>
        <v>29.5</v>
      </c>
      <c r="P23" s="6">
        <f t="shared" si="5"/>
        <v>947.5</v>
      </c>
      <c r="Q23" s="6">
        <f t="shared" si="6"/>
        <v>186.96960000000001</v>
      </c>
      <c r="R23" s="6">
        <f t="shared" si="7"/>
        <v>0.48620000000000002</v>
      </c>
      <c r="S23" s="6">
        <f t="shared" si="8"/>
        <v>7.2140305344574318E-4</v>
      </c>
      <c r="T23" s="12">
        <f t="shared" si="9"/>
        <v>0.97860000000000003</v>
      </c>
    </row>
    <row r="24" spans="2:20">
      <c r="B24" s="394" t="s">
        <v>89</v>
      </c>
      <c r="C24" s="387" t="s">
        <v>7</v>
      </c>
      <c r="D24" s="385">
        <v>10</v>
      </c>
      <c r="E24" s="386">
        <v>43</v>
      </c>
      <c r="F24" s="385">
        <v>438.90499999999997</v>
      </c>
      <c r="G24" s="387" t="s">
        <v>39</v>
      </c>
      <c r="H24" s="385">
        <v>0</v>
      </c>
      <c r="I24" s="345">
        <f>IF(F24="","",F24-H24)</f>
        <v>438.90499999999997</v>
      </c>
      <c r="J24" s="346">
        <f>IF(F24="","",T24)</f>
        <v>0.97970000000000002</v>
      </c>
      <c r="K24" s="213">
        <f>B63</f>
        <v>0.94750000000000001</v>
      </c>
      <c r="L24" s="347">
        <f>IF(F24="","",I24*J24)</f>
        <v>429.9952285</v>
      </c>
      <c r="M24" s="348">
        <f>IF(B24="","",ROUND(SUM(L24*K24),3))</f>
        <v>407.42</v>
      </c>
      <c r="N24" s="97">
        <f>(K24-0.0011)*L24</f>
        <v>406.94748425239999</v>
      </c>
      <c r="O24" s="11">
        <f t="shared" si="10"/>
        <v>28</v>
      </c>
      <c r="P24" s="6">
        <f>K24*1000</f>
        <v>947.5</v>
      </c>
      <c r="Q24" s="6">
        <f>IF(K24&gt;0.8385,186.9696,IF(K24&gt;0.7875,594.5418,IF(K24&gt;0.77,2680.3206,346.4228)))</f>
        <v>186.96960000000001</v>
      </c>
      <c r="R24" s="6">
        <f>IF(K24&gt;0.8385,0.4862,IF(K24&gt;0.7875,0,IF(K24&gt;0.77,-0.00336312,0.4388)))</f>
        <v>0.48620000000000002</v>
      </c>
      <c r="S24" s="6">
        <f>IF(OR(K24&gt;0.7876,K24=0.7876),(Q24/P24^2)+(R24/P24),IF(OR(K24&gt;0.7701,K24=0.7701),(Q24/P24^2)+R24,(Q24/P24^2)+(R24/P24)))</f>
        <v>7.2140305344574318E-4</v>
      </c>
      <c r="T24" s="12">
        <f>ROUND(EXP(-S24*O24*(1+0.8*S24*O24)),4)</f>
        <v>0.97970000000000002</v>
      </c>
    </row>
    <row r="25" spans="2:20">
      <c r="B25" s="394" t="s">
        <v>90</v>
      </c>
      <c r="C25" s="387" t="s">
        <v>7</v>
      </c>
      <c r="D25" s="385">
        <v>10</v>
      </c>
      <c r="E25" s="386">
        <v>43</v>
      </c>
      <c r="F25" s="385">
        <v>434.05799999999999</v>
      </c>
      <c r="G25" s="387" t="s">
        <v>39</v>
      </c>
      <c r="H25" s="385">
        <v>0</v>
      </c>
      <c r="I25" s="345">
        <f>IF(F25="","",F25-H25)</f>
        <v>434.05799999999999</v>
      </c>
      <c r="J25" s="346">
        <f>IF(F25="","",T25)</f>
        <v>0.97970000000000002</v>
      </c>
      <c r="K25" s="213">
        <f>B63</f>
        <v>0.94750000000000001</v>
      </c>
      <c r="L25" s="347">
        <f>IF(F25="","",I25*J25)</f>
        <v>425.24662260000002</v>
      </c>
      <c r="M25" s="348">
        <f>IF(B25="","",ROUND(SUM(L25*K25),3))</f>
        <v>402.92099999999999</v>
      </c>
      <c r="N25" s="97">
        <f>(K25-0.0011)*L25</f>
        <v>402.45340362864005</v>
      </c>
      <c r="O25" s="11">
        <f t="shared" si="10"/>
        <v>28</v>
      </c>
      <c r="P25" s="6">
        <f>K25*1000</f>
        <v>947.5</v>
      </c>
      <c r="Q25" s="6">
        <f>IF(K25&gt;0.8385,186.9696,IF(K25&gt;0.7875,594.5418,IF(K25&gt;0.77,2680.3206,346.4228)))</f>
        <v>186.96960000000001</v>
      </c>
      <c r="R25" s="6">
        <f>IF(K25&gt;0.8385,0.4862,IF(K25&gt;0.7875,0,IF(K25&gt;0.77,-0.00336312,0.4388)))</f>
        <v>0.48620000000000002</v>
      </c>
      <c r="S25" s="6">
        <f>IF(OR(K25&gt;0.7876,K25=0.7876),(Q25/P25^2)+(R25/P25),IF(OR(K25&gt;0.7701,K25=0.7701),(Q25/P25^2)+R25,(Q25/P25^2)+(R25/P25)))</f>
        <v>7.2140305344574318E-4</v>
      </c>
      <c r="T25" s="12">
        <f>ROUND(EXP(-S25*O25*(1+0.8*S25*O25)),4)</f>
        <v>0.97970000000000002</v>
      </c>
    </row>
    <row r="26" spans="2:20">
      <c r="B26" s="394" t="s">
        <v>91</v>
      </c>
      <c r="C26" s="387" t="s">
        <v>7</v>
      </c>
      <c r="D26" s="385">
        <v>0.97499999999999998</v>
      </c>
      <c r="E26" s="386">
        <v>0</v>
      </c>
      <c r="F26" s="385">
        <v>0</v>
      </c>
      <c r="G26" s="387" t="s">
        <v>39</v>
      </c>
      <c r="H26" s="385">
        <v>0</v>
      </c>
      <c r="I26" s="345">
        <f t="shared" si="0"/>
        <v>0</v>
      </c>
      <c r="J26" s="346">
        <f t="shared" si="1"/>
        <v>1.0107999999999999</v>
      </c>
      <c r="K26" s="213">
        <f>B63</f>
        <v>0.94750000000000001</v>
      </c>
      <c r="L26" s="347">
        <f t="shared" si="2"/>
        <v>0</v>
      </c>
      <c r="M26" s="348">
        <f t="shared" si="3"/>
        <v>0</v>
      </c>
      <c r="N26" s="97">
        <f t="shared" si="4"/>
        <v>0</v>
      </c>
      <c r="O26" s="11">
        <f t="shared" si="10"/>
        <v>-15</v>
      </c>
      <c r="P26" s="6">
        <f t="shared" si="5"/>
        <v>947.5</v>
      </c>
      <c r="Q26" s="6">
        <f t="shared" si="6"/>
        <v>186.96960000000001</v>
      </c>
      <c r="R26" s="6">
        <f t="shared" si="7"/>
        <v>0.48620000000000002</v>
      </c>
      <c r="S26" s="6">
        <f t="shared" si="8"/>
        <v>7.2140305344574318E-4</v>
      </c>
      <c r="T26" s="12">
        <f t="shared" si="9"/>
        <v>1.0107999999999999</v>
      </c>
    </row>
    <row r="27" spans="2:20">
      <c r="B27" s="394" t="s">
        <v>92</v>
      </c>
      <c r="C27" s="387" t="s">
        <v>7</v>
      </c>
      <c r="D27" s="385">
        <v>1.0429999999999999</v>
      </c>
      <c r="E27" s="386">
        <v>0</v>
      </c>
      <c r="F27" s="385">
        <v>0</v>
      </c>
      <c r="G27" s="387" t="s">
        <v>39</v>
      </c>
      <c r="H27" s="385">
        <v>0</v>
      </c>
      <c r="I27" s="345">
        <f t="shared" si="0"/>
        <v>0</v>
      </c>
      <c r="J27" s="346">
        <f t="shared" si="1"/>
        <v>1.0107999999999999</v>
      </c>
      <c r="K27" s="213">
        <f>B63</f>
        <v>0.94750000000000001</v>
      </c>
      <c r="L27" s="347">
        <f t="shared" si="2"/>
        <v>0</v>
      </c>
      <c r="M27" s="348">
        <f t="shared" si="3"/>
        <v>0</v>
      </c>
      <c r="N27" s="97">
        <f t="shared" si="4"/>
        <v>0</v>
      </c>
      <c r="O27" s="11">
        <f t="shared" si="10"/>
        <v>-15</v>
      </c>
      <c r="P27" s="6">
        <f t="shared" si="5"/>
        <v>947.5</v>
      </c>
      <c r="Q27" s="6">
        <f t="shared" si="6"/>
        <v>186.96960000000001</v>
      </c>
      <c r="R27" s="6">
        <f t="shared" si="7"/>
        <v>0.48620000000000002</v>
      </c>
      <c r="S27" s="6">
        <f t="shared" si="8"/>
        <v>7.2140305344574318E-4</v>
      </c>
      <c r="T27" s="12">
        <f t="shared" si="9"/>
        <v>1.0107999999999999</v>
      </c>
    </row>
    <row r="28" spans="2:20">
      <c r="B28" s="394" t="s">
        <v>179</v>
      </c>
      <c r="C28" s="387" t="s">
        <v>7</v>
      </c>
      <c r="D28" s="385"/>
      <c r="E28" s="386"/>
      <c r="F28" s="385"/>
      <c r="G28" s="387"/>
      <c r="H28" s="395"/>
      <c r="I28" s="345" t="str">
        <f>IF(F28="","",F28-G29)</f>
        <v/>
      </c>
      <c r="J28" s="346" t="str">
        <f t="shared" si="1"/>
        <v/>
      </c>
      <c r="K28" s="213">
        <f>B63</f>
        <v>0.94750000000000001</v>
      </c>
      <c r="L28" s="347" t="str">
        <f t="shared" si="2"/>
        <v/>
      </c>
      <c r="M28" s="348" t="e">
        <f t="shared" si="3"/>
        <v>#VALUE!</v>
      </c>
      <c r="N28" s="97">
        <f>IF(F28="",0,(K28-0.0011)*L28)</f>
        <v>0</v>
      </c>
      <c r="O28" s="11">
        <f>IF(E28="",0,E28-15)</f>
        <v>0</v>
      </c>
      <c r="P28" s="6">
        <f>IF(K28="",0,K28*1000)</f>
        <v>947.5</v>
      </c>
      <c r="Q28" s="6">
        <f>IF(K28="",0,IF(K28&gt;0.8385,186.9696,IF(K28&gt;0.7875,594.5418,IF(K28&gt;0.77,2680.3206,346.4228))))</f>
        <v>186.96960000000001</v>
      </c>
      <c r="R28" s="6">
        <f>IF(K28="",0,IF(K28&gt;0.8385,0.4862,IF(K28&gt;0.7875,0,IF(K28&gt;0.77,-0.00336312,0.4388))))</f>
        <v>0.48620000000000002</v>
      </c>
      <c r="S28" s="6">
        <f>IF(OR(K28="",K28=0),0,IF(OR(K28&gt;0.7876,K28=0.7876),(Q28/P28^2)+(R28/P28),IF(OR(K28&gt;0.7701,K28=0.7701),(Q28/P28^2)+R28,(Q28/P28^2)+(R28/P28))))</f>
        <v>7.2140305344574318E-4</v>
      </c>
      <c r="T28" s="12">
        <f>IF(OR(K28="",K28=0),0,ROUND(EXP(-S28*O28*(1+0.8*S28*O28)),4))</f>
        <v>1</v>
      </c>
    </row>
    <row r="29" spans="2:20">
      <c r="B29" s="394"/>
      <c r="C29" s="387"/>
      <c r="D29" s="385"/>
      <c r="E29" s="386"/>
      <c r="F29" s="385"/>
      <c r="G29" s="385"/>
      <c r="H29" s="385"/>
      <c r="I29" s="345" t="str">
        <f t="shared" si="0"/>
        <v/>
      </c>
      <c r="J29" s="346" t="str">
        <f t="shared" si="1"/>
        <v/>
      </c>
      <c r="K29" s="213">
        <f>B63</f>
        <v>0.94750000000000001</v>
      </c>
      <c r="L29" s="347" t="str">
        <f t="shared" si="2"/>
        <v/>
      </c>
      <c r="M29" s="348" t="str">
        <f t="shared" si="3"/>
        <v/>
      </c>
      <c r="N29" s="97">
        <f>IF(F29="",0,(K29-0.0011)*L29)</f>
        <v>0</v>
      </c>
      <c r="O29" s="11">
        <f>IF(E29="",0,E29-15)</f>
        <v>0</v>
      </c>
      <c r="P29" s="6">
        <f>IF(K29="",0,K29*1000)</f>
        <v>947.5</v>
      </c>
      <c r="Q29" s="6">
        <f>IF(K29="",0,IF(K29&gt;0.8385,186.9696,IF(K29&gt;0.7875,594.5418,IF(K29&gt;0.77,2680.3206,346.4228))))</f>
        <v>186.96960000000001</v>
      </c>
      <c r="R29" s="6">
        <f>IF(K29="",0,IF(K29&gt;0.8385,0.4862,IF(K29&gt;0.7875,0,IF(K29&gt;0.77,-0.00336312,0.4388))))</f>
        <v>0.48620000000000002</v>
      </c>
      <c r="S29" s="6">
        <f>IF(OR(K29="",K29=0),0,IF(OR(K29&gt;0.7876,K29=0.7876),(Q29/P29^2)+(R29/P29),IF(OR(K29&gt;0.7701,K29=0.7701),(Q29/P29^2)+R29,(Q29/P29^2)+(R29/P29))))</f>
        <v>7.2140305344574318E-4</v>
      </c>
      <c r="T29" s="12">
        <f>IF(OR(K29="",K29=0),0,ROUND(EXP(-S29*O29*(1+0.8*S29*O29)),4))</f>
        <v>1</v>
      </c>
    </row>
    <row r="30" spans="2:20">
      <c r="B30" s="396"/>
      <c r="C30" s="388"/>
      <c r="D30" s="388"/>
      <c r="E30" s="388"/>
      <c r="F30" s="388"/>
      <c r="G30" s="388"/>
      <c r="H30" s="388"/>
      <c r="I30" s="345" t="str">
        <f t="shared" si="0"/>
        <v/>
      </c>
      <c r="J30" s="346" t="str">
        <f t="shared" si="1"/>
        <v/>
      </c>
      <c r="K30" s="363">
        <f>B63</f>
        <v>0.94750000000000001</v>
      </c>
      <c r="L30" s="347" t="str">
        <f t="shared" si="2"/>
        <v/>
      </c>
      <c r="M30" s="348" t="str">
        <f t="shared" si="3"/>
        <v/>
      </c>
      <c r="N30" s="350"/>
      <c r="O30" s="13"/>
    </row>
    <row r="31" spans="2:20">
      <c r="B31" s="396"/>
      <c r="C31" s="388"/>
      <c r="D31" s="388"/>
      <c r="E31" s="388"/>
      <c r="F31" s="388"/>
      <c r="G31" s="388"/>
      <c r="H31" s="388"/>
      <c r="I31" s="345" t="str">
        <f t="shared" si="0"/>
        <v/>
      </c>
      <c r="J31" s="346" t="str">
        <f t="shared" si="1"/>
        <v/>
      </c>
      <c r="K31" s="364">
        <f>B63</f>
        <v>0.94750000000000001</v>
      </c>
      <c r="L31" s="347" t="str">
        <f t="shared" si="2"/>
        <v/>
      </c>
      <c r="M31" s="348" t="str">
        <f t="shared" si="3"/>
        <v/>
      </c>
      <c r="N31" s="351"/>
      <c r="O31" s="10"/>
    </row>
    <row r="32" spans="2:20">
      <c r="B32" s="397"/>
      <c r="C32" s="388"/>
      <c r="D32" s="388"/>
      <c r="E32" s="388"/>
      <c r="F32" s="388"/>
      <c r="G32" s="388"/>
      <c r="H32" s="388"/>
      <c r="I32" s="345" t="str">
        <f>IF(F32="","",F32-H32)</f>
        <v/>
      </c>
      <c r="J32" s="346" t="str">
        <f>IF(F32="","",T32)</f>
        <v/>
      </c>
      <c r="K32" s="364">
        <f>B63</f>
        <v>0.94750000000000001</v>
      </c>
      <c r="L32" s="347" t="str">
        <f t="shared" si="2"/>
        <v/>
      </c>
      <c r="M32" s="348" t="str">
        <f>IF(B32="","",ROUND(SUM(L32*K32),3))</f>
        <v/>
      </c>
      <c r="N32" s="351"/>
      <c r="O32" s="10"/>
    </row>
    <row r="33" spans="2:25">
      <c r="B33" s="396"/>
      <c r="C33" s="388"/>
      <c r="D33" s="388"/>
      <c r="E33" s="388"/>
      <c r="F33" s="388"/>
      <c r="G33" s="388"/>
      <c r="H33" s="388"/>
      <c r="I33" s="345" t="str">
        <f>IF(F33="","",F33-H33)</f>
        <v/>
      </c>
      <c r="J33" s="346" t="str">
        <f>IF(F33="","",T33)</f>
        <v/>
      </c>
      <c r="K33" s="364">
        <f>B63</f>
        <v>0.94750000000000001</v>
      </c>
      <c r="L33" s="347" t="str">
        <f t="shared" si="2"/>
        <v/>
      </c>
      <c r="M33" s="348" t="str">
        <f>IF(B33="","",ROUND(SUM(L33*K33),3))</f>
        <v/>
      </c>
      <c r="N33" s="350"/>
      <c r="O33" s="10"/>
    </row>
    <row r="34" spans="2:25" ht="14.4" thickBot="1">
      <c r="B34" s="398"/>
      <c r="C34" s="399"/>
      <c r="D34" s="399"/>
      <c r="E34" s="399"/>
      <c r="F34" s="399"/>
      <c r="G34" s="399"/>
      <c r="H34" s="399"/>
      <c r="I34" s="345" t="str">
        <f t="shared" si="0"/>
        <v/>
      </c>
      <c r="J34" s="346" t="str">
        <f t="shared" si="1"/>
        <v/>
      </c>
      <c r="K34" s="365">
        <f>B63</f>
        <v>0.94750000000000001</v>
      </c>
      <c r="L34" s="347" t="str">
        <f t="shared" si="2"/>
        <v/>
      </c>
      <c r="M34" s="348" t="str">
        <f t="shared" si="3"/>
        <v/>
      </c>
      <c r="N34" s="354"/>
      <c r="O34" s="10"/>
    </row>
    <row r="35" spans="2:25" ht="14.4" thickBot="1">
      <c r="B35" s="355" t="s">
        <v>57</v>
      </c>
      <c r="C35" s="356"/>
      <c r="D35" s="356"/>
      <c r="E35" s="356"/>
      <c r="F35" s="356"/>
      <c r="G35" s="356"/>
      <c r="H35" s="357"/>
      <c r="I35" s="358">
        <f>SUM(I20:I29)</f>
        <v>2705.5169999999998</v>
      </c>
      <c r="J35" s="359">
        <f>MEDIAN(J20:J29)</f>
        <v>0.98060000000000003</v>
      </c>
      <c r="K35" s="360">
        <f>MEDIAN(K20:K29)</f>
        <v>0.94750000000000001</v>
      </c>
      <c r="L35" s="358">
        <f>SUM(L20:L29)</f>
        <v>2651.1741126000002</v>
      </c>
      <c r="M35" s="361" t="e">
        <f>ROUND(SUM(M20:M29),3)</f>
        <v>#VALUE!</v>
      </c>
      <c r="N35" s="362">
        <f>SUM(N20:N29)</f>
        <v>2509.0711801646403</v>
      </c>
      <c r="O35" s="10"/>
    </row>
    <row r="36" spans="2:25">
      <c r="O36" s="10"/>
      <c r="W36" s="24"/>
      <c r="X36" s="25">
        <f>SUM(L20:L27)</f>
        <v>2651.1741126000002</v>
      </c>
      <c r="Y36" s="24"/>
    </row>
    <row r="37" spans="2:25">
      <c r="O37" s="11">
        <f>IF(E44="","",E44-15)</f>
        <v>25.5</v>
      </c>
      <c r="P37" s="6">
        <f>K44*1000</f>
        <v>947.5</v>
      </c>
      <c r="Q37" s="6">
        <f>IF(K44&gt;0.8385,186.9696,IF(K44&gt;0.7875,594.5418,IF(K44&gt;0.77,2680.3206,346.4228)))</f>
        <v>186.96960000000001</v>
      </c>
      <c r="R37" s="6">
        <f>IF(K44&gt;0.8385,0.4862,IF(K44&gt;0.7875,0,IF(K44&gt;0.77,-0.00336312,0.4388)))</f>
        <v>0.48620000000000002</v>
      </c>
      <c r="S37" s="6">
        <f>IF(OR(K44&gt;0.7876,K44=0.7876),(Q37/P37^2)+(R37/P37),IF(OR(K44&gt;0.7701,K44=0.7701),(Q37/P37^2)+R37,(Q37/P37^2)+(R37/P37)))</f>
        <v>7.2140305344574318E-4</v>
      </c>
      <c r="T37" s="12">
        <f t="shared" ref="T37:T44" si="11">ROUND(EXP(-S37*O37*(1+0.8*S37*O37)),4)</f>
        <v>0.98150000000000004</v>
      </c>
      <c r="W37" s="25">
        <f>I35-I59</f>
        <v>624.67699999999968</v>
      </c>
      <c r="X37" s="25">
        <f>SUM(L44:L51)</f>
        <v>2038.9834797000001</v>
      </c>
      <c r="Y37" s="24">
        <f>624.8*0.9799</f>
        <v>612.24151999999992</v>
      </c>
    </row>
    <row r="38" spans="2:25">
      <c r="O38" s="11">
        <f>E45-15</f>
        <v>25.5</v>
      </c>
      <c r="P38" s="6">
        <f>K45*1000</f>
        <v>947.5</v>
      </c>
      <c r="Q38" s="6">
        <f>IF(K45&gt;0.8385,186.9696,IF(K45&gt;0.7875,594.5418,IF(K45&gt;0.77,2680.3206,346.4228)))</f>
        <v>186.96960000000001</v>
      </c>
      <c r="R38" s="6">
        <f>IF(K45&gt;0.8385,0.4862,IF(K45&gt;0.7875,0,IF(K45&gt;0.77,-0.00336312,0.4388)))</f>
        <v>0.48620000000000002</v>
      </c>
      <c r="S38" s="6">
        <f>IF(OR(K45&gt;0.7876,K45=0.7876),(Q38/P38^2)+(R38/P38),IF(OR(K45&gt;0.7701,K45=0.7701),(Q38/P38^2)+R38,(Q38/P38^2)+(R38/P38)))</f>
        <v>7.2140305344574318E-4</v>
      </c>
      <c r="T38" s="12">
        <f t="shared" si="11"/>
        <v>0.98150000000000004</v>
      </c>
      <c r="W38" s="24">
        <f>W37*0.9799</f>
        <v>612.12099229999967</v>
      </c>
      <c r="X38" s="25">
        <f>X36-X37</f>
        <v>612.19063290000008</v>
      </c>
      <c r="Y38" s="24">
        <f>Y37*0.9475</f>
        <v>580.09884019999993</v>
      </c>
    </row>
    <row r="39" spans="2:25" ht="14.4" thickBot="1">
      <c r="O39" s="11">
        <f>E46-15</f>
        <v>29.5</v>
      </c>
      <c r="P39" s="6">
        <f>K46*1000</f>
        <v>947.5</v>
      </c>
      <c r="Q39" s="6">
        <f>IF(K46&gt;0.8385,186.9696,IF(K46&gt;0.7875,594.5418,IF(K46&gt;0.77,2680.3206,346.4228)))</f>
        <v>186.96960000000001</v>
      </c>
      <c r="R39" s="6">
        <f>IF(K46&gt;0.8385,0.4862,IF(K46&gt;0.7875,0,IF(K46&gt;0.77,-0.00336312,0.4388)))</f>
        <v>0.48620000000000002</v>
      </c>
      <c r="S39" s="6">
        <f>IF(OR(K46&gt;0.7876,K46=0.7876),(Q39/P39^2)+(R39/P39),IF(OR(K46&gt;0.7701,K46=0.7701),(Q39/P39^2)+R39,(Q39/P39^2)+(R39/P39)))</f>
        <v>7.2140305344574318E-4</v>
      </c>
      <c r="T39" s="12">
        <f t="shared" si="11"/>
        <v>0.97860000000000003</v>
      </c>
      <c r="W39" s="24">
        <f>W38*0.9475</f>
        <v>579.98464020424967</v>
      </c>
      <c r="X39" s="24"/>
      <c r="Y39" s="24"/>
    </row>
    <row r="40" spans="2:25" ht="15.6" thickBot="1">
      <c r="B40" s="247" t="s">
        <v>93</v>
      </c>
      <c r="C40" s="248"/>
      <c r="D40" s="248"/>
      <c r="E40" s="248"/>
      <c r="F40" s="248"/>
      <c r="G40" s="248"/>
      <c r="H40" s="248"/>
      <c r="I40" s="248"/>
      <c r="J40" s="99" t="s">
        <v>78</v>
      </c>
      <c r="K40" s="408">
        <v>5009402.4000000004</v>
      </c>
      <c r="L40" s="409"/>
      <c r="M40" s="409"/>
      <c r="N40" s="91" t="s">
        <v>79</v>
      </c>
      <c r="O40" s="11">
        <f>E47-15</f>
        <v>29.5</v>
      </c>
      <c r="P40" s="6">
        <f>K47*1000</f>
        <v>947.5</v>
      </c>
      <c r="Q40" s="6">
        <f>IF(K47&gt;0.8385,186.9696,IF(K47&gt;0.7875,594.5418,IF(K47&gt;0.77,2680.3206,346.4228)))</f>
        <v>186.96960000000001</v>
      </c>
      <c r="R40" s="6">
        <f>IF(K47&gt;0.8385,0.4862,IF(K47&gt;0.7875,0,IF(K47&gt;0.77,-0.00336312,0.4388)))</f>
        <v>0.48620000000000002</v>
      </c>
      <c r="S40" s="6">
        <f>IF(OR(K47&gt;0.7876,K47=0.7876),(Q40/P40^2)+(R40/P40),IF(OR(K47&gt;0.7701,K47=0.7701),(Q40/P40^2)+R40,(Q40/P40^2)+(R40/P40)))</f>
        <v>7.2140305344574318E-4</v>
      </c>
      <c r="T40" s="12">
        <f t="shared" si="11"/>
        <v>0.97860000000000003</v>
      </c>
    </row>
    <row r="41" spans="2:25" ht="14.4" thickBot="1">
      <c r="B41" s="92" t="s">
        <v>17</v>
      </c>
      <c r="C41" s="405">
        <v>3.05</v>
      </c>
      <c r="D41" s="93" t="s">
        <v>18</v>
      </c>
      <c r="E41" s="93" t="s">
        <v>19</v>
      </c>
      <c r="F41" s="404">
        <v>4.1500000000000004</v>
      </c>
      <c r="G41" s="93" t="s">
        <v>18</v>
      </c>
      <c r="H41" s="93" t="s">
        <v>20</v>
      </c>
      <c r="I41" s="400">
        <v>1.1000000000000001</v>
      </c>
      <c r="J41" s="254" t="s">
        <v>21</v>
      </c>
      <c r="K41" s="248"/>
      <c r="L41" s="223" t="s">
        <v>80</v>
      </c>
      <c r="M41" s="250" t="s">
        <v>23</v>
      </c>
      <c r="N41" s="251"/>
      <c r="O41" s="11">
        <f>E48-15</f>
        <v>28</v>
      </c>
      <c r="P41" s="6">
        <f>K48*1000</f>
        <v>947.5</v>
      </c>
      <c r="Q41" s="6">
        <f>IF(K48&gt;0.8385,186.9696,IF(K48&gt;0.7875,594.5418,IF(K48&gt;0.77,2680.3206,346.4228)))</f>
        <v>186.96960000000001</v>
      </c>
      <c r="R41" s="6">
        <f>IF(K48&gt;0.8385,0.4862,IF(K48&gt;0.7875,0,IF(K48&gt;0.77,-0.00336312,0.4388)))</f>
        <v>0.48620000000000002</v>
      </c>
      <c r="S41" s="6">
        <f>IF(OR(K48&gt;0.7876,K48=0.7876),(Q41/P41^2)+(R41/P41),IF(OR(K48&gt;0.7701,K48=0.7701),(Q41/P41^2)+R41,(Q41/P41^2)+(R41/P41)))</f>
        <v>7.2140305344574318E-4</v>
      </c>
      <c r="T41" s="12">
        <f>ROUND(EXP(-S41*O41*(1+0.8*S41*O41)),4)</f>
        <v>0.97970000000000002</v>
      </c>
    </row>
    <row r="42" spans="2:25">
      <c r="B42" s="233" t="s">
        <v>24</v>
      </c>
      <c r="C42" s="249" t="s">
        <v>25</v>
      </c>
      <c r="D42" s="234" t="s">
        <v>81</v>
      </c>
      <c r="E42" s="234" t="s">
        <v>54</v>
      </c>
      <c r="F42" s="235" t="s">
        <v>82</v>
      </c>
      <c r="G42" s="242" t="s">
        <v>29</v>
      </c>
      <c r="H42" s="243"/>
      <c r="I42" s="234" t="s">
        <v>30</v>
      </c>
      <c r="J42" s="234" t="s">
        <v>31</v>
      </c>
      <c r="K42" s="234" t="s">
        <v>83</v>
      </c>
      <c r="L42" s="239" t="s">
        <v>84</v>
      </c>
      <c r="M42" s="252" t="s">
        <v>34</v>
      </c>
      <c r="N42" s="253" t="s">
        <v>35</v>
      </c>
      <c r="O42" s="11">
        <f>E49-15</f>
        <v>28</v>
      </c>
      <c r="P42" s="6">
        <f>K49*1000</f>
        <v>947.5</v>
      </c>
      <c r="Q42" s="6">
        <f>IF(K49&gt;0.8385,186.9696,IF(K49&gt;0.7875,594.5418,IF(K49&gt;0.77,2680.3206,346.4228)))</f>
        <v>186.96960000000001</v>
      </c>
      <c r="R42" s="6">
        <f>IF(K49&gt;0.8385,0.4862,IF(K49&gt;0.7875,0,IF(K49&gt;0.77,-0.00336312,0.4388)))</f>
        <v>0.48620000000000002</v>
      </c>
      <c r="S42" s="6">
        <f>IF(OR(K49&gt;0.7876,K49=0.7876),(Q42/P42^2)+(R42/P42),IF(OR(K49&gt;0.7701,K49=0.7701),(Q42/P42^2)+R42,(Q42/P42^2)+(R42/P42)))</f>
        <v>7.2140305344574318E-4</v>
      </c>
      <c r="T42" s="12">
        <f>ROUND(EXP(-S42*O42*(1+0.8*S42*O42)),4)</f>
        <v>0.97970000000000002</v>
      </c>
    </row>
    <row r="43" spans="2:25" ht="14.4" thickBot="1">
      <c r="B43" s="337"/>
      <c r="C43" s="338"/>
      <c r="D43" s="339"/>
      <c r="E43" s="339"/>
      <c r="F43" s="340"/>
      <c r="G43" s="366" t="s">
        <v>36</v>
      </c>
      <c r="H43" s="366" t="s">
        <v>37</v>
      </c>
      <c r="I43" s="339"/>
      <c r="J43" s="339"/>
      <c r="K43" s="339"/>
      <c r="L43" s="342"/>
      <c r="M43" s="343"/>
      <c r="N43" s="344"/>
      <c r="O43" s="11">
        <f>E50-15</f>
        <v>-15</v>
      </c>
      <c r="P43" s="6">
        <f>K50*1000</f>
        <v>947.5</v>
      </c>
      <c r="Q43" s="6">
        <f>IF(K50&gt;0.8385,186.9696,IF(K50&gt;0.7875,594.5418,IF(K50&gt;0.77,2680.3206,346.4228)))</f>
        <v>186.96960000000001</v>
      </c>
      <c r="R43" s="6">
        <f>IF(K50&gt;0.8385,0.4862,IF(K50&gt;0.7875,0,IF(K50&gt;0.77,-0.00336312,0.4388)))</f>
        <v>0.48620000000000002</v>
      </c>
      <c r="S43" s="6">
        <f>IF(OR(K50&gt;0.7876,K50=0.7876),(Q43/P43^2)+(R43/P43),IF(OR(K50&gt;0.7701,K50=0.7701),(Q43/P43^2)+R43,(Q43/P43^2)+(R43/P43)))</f>
        <v>7.2140305344574318E-4</v>
      </c>
      <c r="T43" s="12">
        <f t="shared" si="11"/>
        <v>1.0107999999999999</v>
      </c>
    </row>
    <row r="44" spans="2:25">
      <c r="B44" s="380" t="str">
        <f>B20</f>
        <v>1 BB</v>
      </c>
      <c r="C44" s="367" t="str">
        <f>C20</f>
        <v>VLSFO</v>
      </c>
      <c r="D44" s="382">
        <v>2.27</v>
      </c>
      <c r="E44" s="383">
        <v>40.5</v>
      </c>
      <c r="F44" s="382">
        <v>323.82600000000002</v>
      </c>
      <c r="G44" s="384" t="s">
        <v>39</v>
      </c>
      <c r="H44" s="382">
        <v>0</v>
      </c>
      <c r="I44" s="370">
        <f t="shared" ref="I44:I51" si="12">IF(F44="","",F44-H44)</f>
        <v>323.82600000000002</v>
      </c>
      <c r="J44" s="371">
        <f>IF(F44="","",T37)</f>
        <v>0.98150000000000004</v>
      </c>
      <c r="K44" s="346">
        <f>K20</f>
        <v>0.94750000000000001</v>
      </c>
      <c r="L44" s="372">
        <f t="shared" ref="L44:L51" si="13">IF(F44="","",I44*J44)</f>
        <v>317.83521900000005</v>
      </c>
      <c r="M44" s="373">
        <f t="shared" ref="M44:M45" si="14">IF(B44="","",ROUND(SUM(L44*K44),3))</f>
        <v>301.149</v>
      </c>
      <c r="N44" s="374">
        <f t="shared" ref="N44:N45" si="15">(K44-0.0011)*L44</f>
        <v>300.79925126160003</v>
      </c>
      <c r="O44" s="11">
        <f>E51-15</f>
        <v>-15</v>
      </c>
      <c r="P44" s="6">
        <f>K51*1000</f>
        <v>947.5</v>
      </c>
      <c r="Q44" s="6">
        <f>IF(K51&gt;0.8385,186.9696,IF(K51&gt;0.7875,594.5418,IF(K51&gt;0.77,2680.3206,346.4228)))</f>
        <v>186.96960000000001</v>
      </c>
      <c r="R44" s="6">
        <f>IF(K51&gt;0.8385,0.4862,IF(K51&gt;0.7875,0,IF(K51&gt;0.77,-0.00336312,0.4388)))</f>
        <v>0.48620000000000002</v>
      </c>
      <c r="S44" s="6">
        <f>IF(OR(K51&gt;0.7876,K51=0.7876),(Q44/P44^2)+(R44/P44),IF(OR(K51&gt;0.7701,K51=0.7701),(Q44/P44^2)+R44,(Q44/P44^2)+(R44/P44)))</f>
        <v>7.2140305344574318E-4</v>
      </c>
      <c r="T44" s="12">
        <f t="shared" si="11"/>
        <v>1.0107999999999999</v>
      </c>
    </row>
    <row r="45" spans="2:25">
      <c r="B45" s="381" t="str">
        <f>B21</f>
        <v>1 BE</v>
      </c>
      <c r="C45" s="349" t="str">
        <f>C21</f>
        <v>VLSFO</v>
      </c>
      <c r="D45" s="385">
        <v>2.23</v>
      </c>
      <c r="E45" s="386">
        <v>40.5</v>
      </c>
      <c r="F45" s="385">
        <v>327.70600000000002</v>
      </c>
      <c r="G45" s="387" t="s">
        <v>39</v>
      </c>
      <c r="H45" s="385">
        <v>0</v>
      </c>
      <c r="I45" s="345">
        <f>IF(F45="","",F45-H45)</f>
        <v>327.70600000000002</v>
      </c>
      <c r="J45" s="346">
        <f>IF(F45="","",T38)</f>
        <v>0.98150000000000004</v>
      </c>
      <c r="K45" s="346">
        <f>K21</f>
        <v>0.94750000000000001</v>
      </c>
      <c r="L45" s="347">
        <f t="shared" si="13"/>
        <v>321.64343900000006</v>
      </c>
      <c r="M45" s="348">
        <f t="shared" si="14"/>
        <v>304.75700000000001</v>
      </c>
      <c r="N45" s="97">
        <f t="shared" si="15"/>
        <v>304.40335066960006</v>
      </c>
      <c r="O45" s="11">
        <f>IF(E52="",0,E52-15)</f>
        <v>-15</v>
      </c>
      <c r="P45" s="6">
        <f>IF(K52="",0,K52*1000)</f>
        <v>947.5</v>
      </c>
      <c r="Q45" s="6">
        <f>IF(K52="",0,IF(K52&gt;0.8385,186.9696,IF(K52&gt;0.7875,594.5418,IF(K52&gt;0.77,2680.3206,346.4228))))</f>
        <v>186.96960000000001</v>
      </c>
      <c r="R45" s="6">
        <f>IF(K52="",0,IF(K52&gt;0.8385,0.4862,IF(K52&gt;0.7875,0,IF(K52&gt;0.77,-0.00336312,0.4388))))</f>
        <v>0.48620000000000002</v>
      </c>
      <c r="S45" s="6">
        <f>IF(OR(K52="",K52=0),0,IF(OR(K52&gt;0.7876,K52=0.7876),(Q45/P45^2)+(R45/P45),IF(OR(K52&gt;0.7701,K52=0.7701),(Q45/P45^2)+R45,(Q45/P45^2)+(R45/P45))))</f>
        <v>7.2140305344574318E-4</v>
      </c>
      <c r="T45" s="12">
        <f>IF(OR(K52="",K52=0),0,ROUND(EXP(-S45*O45*(1+0.8*S45*O45)),4))</f>
        <v>1.0107999999999999</v>
      </c>
    </row>
    <row r="46" spans="2:25">
      <c r="B46" s="381" t="str">
        <f>B22</f>
        <v>2 BB</v>
      </c>
      <c r="C46" s="349" t="str">
        <f>C22</f>
        <v>VLSFO</v>
      </c>
      <c r="D46" s="385">
        <v>2.02</v>
      </c>
      <c r="E46" s="386">
        <v>44.5</v>
      </c>
      <c r="F46" s="385">
        <v>361.25900000000001</v>
      </c>
      <c r="G46" s="387" t="s">
        <v>39</v>
      </c>
      <c r="H46" s="385">
        <v>0</v>
      </c>
      <c r="I46" s="345">
        <f t="shared" si="12"/>
        <v>361.25900000000001</v>
      </c>
      <c r="J46" s="346">
        <f>IF(F46="","",T39)</f>
        <v>0.97860000000000003</v>
      </c>
      <c r="K46" s="346">
        <f>K22</f>
        <v>0.94750000000000001</v>
      </c>
      <c r="L46" s="347">
        <f t="shared" si="13"/>
        <v>353.52805740000002</v>
      </c>
      <c r="M46" s="348">
        <f>IF(B46="","",ROUND(SUM(L46*K46),3))</f>
        <v>334.96800000000002</v>
      </c>
      <c r="N46" s="97">
        <f>(K46-0.0011)*L46</f>
        <v>334.57895352336004</v>
      </c>
      <c r="O46" s="11">
        <f>IF(E53="",0,E53-15)</f>
        <v>0</v>
      </c>
      <c r="P46" s="6">
        <f>IF(K53="",0,K53*1000)</f>
        <v>947.5</v>
      </c>
      <c r="Q46" s="6">
        <f>IF(K53="",0,IF(K53&gt;0.8385,186.9696,IF(K53&gt;0.7875,594.5418,IF(K53&gt;0.77,2680.3206,346.4228))))</f>
        <v>186.96960000000001</v>
      </c>
      <c r="R46" s="6">
        <f>IF(K53="",0,IF(K53&gt;0.8385,0.4862,IF(K53&gt;0.7875,0,IF(K53&gt;0.77,-0.00336312,0.4388))))</f>
        <v>0.48620000000000002</v>
      </c>
      <c r="S46" s="6">
        <f>IF(OR(K53="",K53=0),0,IF(OR(K53&gt;0.7876,K53=0.7876),(Q46/P46^2)+(R46/P46),IF(OR(K53&gt;0.7701,K53=0.7701),(Q46/P46^2)+R46,(Q46/P46^2)+(R46/P46))))</f>
        <v>7.2140305344574318E-4</v>
      </c>
      <c r="T46" s="12">
        <f>IF(OR(K53="",K53=0),0,ROUND(EXP(-S46*O46*(1+0.8*S46*O46)),4))</f>
        <v>1</v>
      </c>
    </row>
    <row r="47" spans="2:25">
      <c r="B47" s="381" t="str">
        <f>B23</f>
        <v>2 BE</v>
      </c>
      <c r="C47" s="349" t="str">
        <f>C23</f>
        <v>VLSFO</v>
      </c>
      <c r="D47" s="385">
        <v>2.085</v>
      </c>
      <c r="E47" s="386">
        <v>44.5</v>
      </c>
      <c r="F47" s="385">
        <v>355.31</v>
      </c>
      <c r="G47" s="387" t="s">
        <v>39</v>
      </c>
      <c r="H47" s="385">
        <v>0</v>
      </c>
      <c r="I47" s="345">
        <f t="shared" si="12"/>
        <v>355.31</v>
      </c>
      <c r="J47" s="346">
        <f>IF(F47="","",T40)</f>
        <v>0.97860000000000003</v>
      </c>
      <c r="K47" s="346">
        <f>K23</f>
        <v>0.94750000000000001</v>
      </c>
      <c r="L47" s="347">
        <f t="shared" si="13"/>
        <v>347.706366</v>
      </c>
      <c r="M47" s="348">
        <f>IF(B47="","",ROUND(SUM(L47*K47),3))</f>
        <v>329.452</v>
      </c>
      <c r="N47" s="97">
        <f>(K47-0.0011)*L47</f>
        <v>329.06930478240002</v>
      </c>
      <c r="O47" s="10"/>
    </row>
    <row r="48" spans="2:25">
      <c r="B48" s="381" t="str">
        <f>B24</f>
        <v>3 BB</v>
      </c>
      <c r="C48" s="349" t="str">
        <f>C24</f>
        <v>VLSFO</v>
      </c>
      <c r="D48" s="385">
        <v>10</v>
      </c>
      <c r="E48" s="386">
        <v>43</v>
      </c>
      <c r="F48" s="385">
        <v>356.94499999999999</v>
      </c>
      <c r="G48" s="387" t="s">
        <v>39</v>
      </c>
      <c r="H48" s="385">
        <v>0</v>
      </c>
      <c r="I48" s="345">
        <f t="shared" si="12"/>
        <v>356.94499999999999</v>
      </c>
      <c r="J48" s="346">
        <f>IF(F48="","",T41)</f>
        <v>0.97970000000000002</v>
      </c>
      <c r="K48" s="346">
        <f>K24</f>
        <v>0.94750000000000001</v>
      </c>
      <c r="L48" s="347">
        <f>IF(F48="","",I48*J48)</f>
        <v>349.69901649999997</v>
      </c>
      <c r="M48" s="348">
        <f>IF(B48="","",ROUND(SUM(L48*K48),3))</f>
        <v>331.34</v>
      </c>
      <c r="N48" s="97">
        <f>(K48-0.0011)*L48</f>
        <v>330.95514921559999</v>
      </c>
      <c r="O48" s="10"/>
    </row>
    <row r="49" spans="2:15" ht="13.5" customHeight="1">
      <c r="B49" s="381" t="str">
        <f>B25</f>
        <v>3 BE</v>
      </c>
      <c r="C49" s="349" t="str">
        <f>C25</f>
        <v>VLSFO</v>
      </c>
      <c r="D49" s="385">
        <v>10</v>
      </c>
      <c r="E49" s="386">
        <v>43</v>
      </c>
      <c r="F49" s="385">
        <v>355.79399999999998</v>
      </c>
      <c r="G49" s="387" t="s">
        <v>39</v>
      </c>
      <c r="H49" s="385">
        <v>0</v>
      </c>
      <c r="I49" s="345">
        <f t="shared" si="12"/>
        <v>355.79399999999998</v>
      </c>
      <c r="J49" s="346">
        <f>IF(F49="","",T42)</f>
        <v>0.97970000000000002</v>
      </c>
      <c r="K49" s="346">
        <f>K25</f>
        <v>0.94750000000000001</v>
      </c>
      <c r="L49" s="347">
        <f>IF(F49="","",I49*J49)</f>
        <v>348.57138179999998</v>
      </c>
      <c r="M49" s="348">
        <f>IF(B49="","",ROUND(SUM(L49*K49),3))</f>
        <v>330.27100000000002</v>
      </c>
      <c r="N49" s="97">
        <f>(K49-0.0011)*L49</f>
        <v>329.88795573551999</v>
      </c>
      <c r="O49" s="14"/>
    </row>
    <row r="50" spans="2:15">
      <c r="B50" s="381" t="str">
        <f>B26</f>
        <v>4 BB</v>
      </c>
      <c r="C50" s="349" t="str">
        <f>C26</f>
        <v>VLSFO</v>
      </c>
      <c r="D50" s="385">
        <v>1.8049999999999999</v>
      </c>
      <c r="E50" s="386">
        <v>0</v>
      </c>
      <c r="F50" s="385">
        <v>0</v>
      </c>
      <c r="G50" s="387" t="s">
        <v>39</v>
      </c>
      <c r="H50" s="385">
        <v>0</v>
      </c>
      <c r="I50" s="345">
        <f t="shared" si="12"/>
        <v>0</v>
      </c>
      <c r="J50" s="346">
        <f>IF(F50="","",T43)</f>
        <v>1.0107999999999999</v>
      </c>
      <c r="K50" s="346">
        <f>K26</f>
        <v>0.94750000000000001</v>
      </c>
      <c r="L50" s="347">
        <f t="shared" si="13"/>
        <v>0</v>
      </c>
      <c r="M50" s="348">
        <f>IF(B50="","",ROUND(SUM(L50*K50),3))</f>
        <v>0</v>
      </c>
      <c r="N50" s="97">
        <f>(K50-0.0011)*L50</f>
        <v>0</v>
      </c>
      <c r="O50" s="12"/>
    </row>
    <row r="51" spans="2:15" s="22" customFormat="1">
      <c r="B51" s="381" t="str">
        <f>B27</f>
        <v>4 BE</v>
      </c>
      <c r="C51" s="349" t="str">
        <f>C27</f>
        <v>VLSFO</v>
      </c>
      <c r="D51" s="385">
        <v>1.835</v>
      </c>
      <c r="E51" s="386">
        <v>0</v>
      </c>
      <c r="F51" s="385">
        <v>0</v>
      </c>
      <c r="G51" s="387" t="s">
        <v>39</v>
      </c>
      <c r="H51" s="385">
        <v>0</v>
      </c>
      <c r="I51" s="345">
        <f t="shared" si="12"/>
        <v>0</v>
      </c>
      <c r="J51" s="346">
        <f>IF(F51="","",T44)</f>
        <v>1.0107999999999999</v>
      </c>
      <c r="K51" s="346">
        <f>K27</f>
        <v>0.94750000000000001</v>
      </c>
      <c r="L51" s="347">
        <f t="shared" si="13"/>
        <v>0</v>
      </c>
      <c r="M51" s="348">
        <f>IF(B51="","",ROUND(SUM(L51*K51),3))</f>
        <v>0</v>
      </c>
      <c r="N51" s="97">
        <f>(K51-0.0011)*L51</f>
        <v>0</v>
      </c>
    </row>
    <row r="52" spans="2:15">
      <c r="B52" s="381" t="str">
        <f>B28</f>
        <v>5BE</v>
      </c>
      <c r="C52" s="349" t="str">
        <f>C28</f>
        <v>VLSFO</v>
      </c>
      <c r="D52" s="385">
        <v>1.835</v>
      </c>
      <c r="E52" s="386">
        <v>0</v>
      </c>
      <c r="F52" s="385">
        <v>0</v>
      </c>
      <c r="G52" s="387" t="s">
        <v>39</v>
      </c>
      <c r="H52" s="385">
        <v>0</v>
      </c>
      <c r="I52" s="345">
        <f>IF(F52="","",F52-H52)</f>
        <v>0</v>
      </c>
      <c r="J52" s="346">
        <f>IF(F52="","-",T45)</f>
        <v>1.0107999999999999</v>
      </c>
      <c r="K52" s="346">
        <f>K28</f>
        <v>0.94750000000000001</v>
      </c>
      <c r="L52" s="347">
        <f>IF(F52="","",I52*J52)</f>
        <v>0</v>
      </c>
      <c r="M52" s="348">
        <f>IF(OR(B52="",B52=0),"",ROUND(SUM(L52*K52),3))</f>
        <v>0</v>
      </c>
      <c r="N52" s="97">
        <f>IF(F52="",0,(K52-0.0011)*L52)</f>
        <v>0</v>
      </c>
    </row>
    <row r="53" spans="2:15">
      <c r="B53" s="381">
        <f>B29</f>
        <v>0</v>
      </c>
      <c r="C53" s="349">
        <f>C29</f>
        <v>0</v>
      </c>
      <c r="D53" s="385"/>
      <c r="E53" s="386"/>
      <c r="F53" s="385"/>
      <c r="G53" s="387"/>
      <c r="H53" s="385"/>
      <c r="I53" s="345" t="str">
        <f>IF(F53="","",F53-H53)</f>
        <v/>
      </c>
      <c r="J53" s="346" t="str">
        <f>IF(F53="","",T46)</f>
        <v/>
      </c>
      <c r="K53" s="346">
        <f>K29</f>
        <v>0.94750000000000001</v>
      </c>
      <c r="L53" s="347" t="str">
        <f>IF(F53="","",I53*J53)</f>
        <v/>
      </c>
      <c r="M53" s="6" t="str">
        <f>IF(OR(B53="",B53=0),"",ROUND(SUM(L53*K53),3))</f>
        <v/>
      </c>
      <c r="N53" s="97">
        <f>IF(F53="",0,(K53-0.0011)*L53)</f>
        <v>0</v>
      </c>
    </row>
    <row r="54" spans="2:15">
      <c r="B54" s="381">
        <f>B30</f>
        <v>0</v>
      </c>
      <c r="C54" s="349">
        <f>C30</f>
        <v>0</v>
      </c>
      <c r="D54" s="388"/>
      <c r="E54" s="388"/>
      <c r="F54" s="388"/>
      <c r="G54" s="388"/>
      <c r="H54" s="388"/>
      <c r="I54" s="345" t="str">
        <f>IF(F54="","",F54-H54)</f>
        <v/>
      </c>
      <c r="J54" s="346" t="str">
        <f>IF(F54="","",T47)</f>
        <v/>
      </c>
      <c r="K54" s="346">
        <f>K30</f>
        <v>0.94750000000000001</v>
      </c>
      <c r="L54" s="347" t="str">
        <f>IF(F54="","",I54*J54)</f>
        <v/>
      </c>
      <c r="M54" s="348" t="str">
        <f>IF(OR(B53="",B53=0),"",ROUND(SUM(L53*K53),3))</f>
        <v/>
      </c>
      <c r="N54" s="97">
        <f>IF(F54="",0,(K54-0.0011)*L54)</f>
        <v>0</v>
      </c>
    </row>
    <row r="55" spans="2:15">
      <c r="B55" s="381">
        <f>B31</f>
        <v>0</v>
      </c>
      <c r="C55" s="349">
        <f>C31</f>
        <v>0</v>
      </c>
      <c r="D55" s="388"/>
      <c r="E55" s="388"/>
      <c r="F55" s="388"/>
      <c r="G55" s="388"/>
      <c r="H55" s="388"/>
      <c r="I55" s="345" t="str">
        <f>IF(F55="","",F55-H55)</f>
        <v/>
      </c>
      <c r="J55" s="346" t="str">
        <f>IF(F55="","",T48)</f>
        <v/>
      </c>
      <c r="K55" s="346">
        <f>K31</f>
        <v>0.94750000000000001</v>
      </c>
      <c r="L55" s="347" t="str">
        <f>IF(F55="","",I55*J55)</f>
        <v/>
      </c>
      <c r="M55" s="348" t="str">
        <f>IF(OR(B54="",B54=0),"",ROUND(SUM(L54*K54),3))</f>
        <v/>
      </c>
      <c r="N55" s="97">
        <f>IF(F55="",0,(K55-0.0011)*L55)</f>
        <v>0</v>
      </c>
    </row>
    <row r="56" spans="2:15" ht="15.75" customHeight="1">
      <c r="B56" s="381">
        <f>B32</f>
        <v>0</v>
      </c>
      <c r="C56" s="349">
        <f>C32</f>
        <v>0</v>
      </c>
      <c r="D56" s="388"/>
      <c r="E56" s="388"/>
      <c r="F56" s="388"/>
      <c r="G56" s="388"/>
      <c r="H56" s="388"/>
      <c r="I56" s="345" t="str">
        <f>IF(F56="","",F56-H56)</f>
        <v/>
      </c>
      <c r="J56" s="346" t="str">
        <f>IF(F56="","",T49)</f>
        <v/>
      </c>
      <c r="K56" s="346">
        <f>K32</f>
        <v>0.94750000000000001</v>
      </c>
      <c r="L56" s="347" t="str">
        <f>IF(F56="","",I56*J56)</f>
        <v/>
      </c>
      <c r="M56" s="348" t="str">
        <f>IF(OR(B55="",B55=0),"",ROUND(SUM(L55*K55),3))</f>
        <v/>
      </c>
      <c r="N56" s="97">
        <f>IF(F56="",0,(K56-0.0011)*L56)</f>
        <v>0</v>
      </c>
    </row>
    <row r="57" spans="2:15">
      <c r="B57" s="381">
        <f>B33</f>
        <v>0</v>
      </c>
      <c r="C57" s="349">
        <f>C33</f>
        <v>0</v>
      </c>
      <c r="D57" s="388"/>
      <c r="E57" s="388"/>
      <c r="F57" s="388"/>
      <c r="G57" s="388"/>
      <c r="H57" s="388"/>
      <c r="I57" s="345" t="str">
        <f>IF(F57="","",F57-H57)</f>
        <v/>
      </c>
      <c r="K57" s="346">
        <f>K33</f>
        <v>0.94750000000000001</v>
      </c>
      <c r="L57" s="347" t="str">
        <f>IF(F57="","",I57*J58)</f>
        <v/>
      </c>
      <c r="M57" s="348" t="str">
        <f>IF(OR(B56="",B56=0),"",ROUND(SUM(L56*K56),3))</f>
        <v/>
      </c>
      <c r="N57" s="97">
        <f>IF(F57="",0,(K57-0.0011)*L57)</f>
        <v>0</v>
      </c>
    </row>
    <row r="58" spans="2:15" ht="14.4" thickBot="1">
      <c r="B58" s="381">
        <f>B34</f>
        <v>0</v>
      </c>
      <c r="C58" s="349">
        <f>C34</f>
        <v>0</v>
      </c>
      <c r="D58" s="389"/>
      <c r="E58" s="389"/>
      <c r="F58" s="389"/>
      <c r="G58" s="389"/>
      <c r="H58" s="389"/>
      <c r="I58" s="345" t="str">
        <f>IF(F58="","",F58-H58)</f>
        <v/>
      </c>
      <c r="J58" s="346" t="str">
        <f>IF(F57="","",T50)</f>
        <v/>
      </c>
      <c r="K58" s="353">
        <f>K34</f>
        <v>0.94750000000000001</v>
      </c>
      <c r="L58" s="347" t="str">
        <f>IF(F58="","",I58*#REF!)</f>
        <v/>
      </c>
      <c r="M58" s="348" t="str">
        <f>IF(OR(B57="",B57=0),"",ROUND(SUM(L57*K57),3))</f>
        <v/>
      </c>
      <c r="N58" s="97">
        <f>IF(F58="",0,(K58-0.0011)*L58)</f>
        <v>0</v>
      </c>
    </row>
    <row r="59" spans="2:15" ht="14.4" thickBot="1">
      <c r="B59" s="355" t="s">
        <v>57</v>
      </c>
      <c r="C59" s="356"/>
      <c r="D59" s="356"/>
      <c r="E59" s="356"/>
      <c r="F59" s="356"/>
      <c r="G59" s="356"/>
      <c r="H59" s="357"/>
      <c r="I59" s="379">
        <f>SUM(I44:I53)</f>
        <v>2080.84</v>
      </c>
      <c r="J59" s="359">
        <f>MEDIAN(J44:J53)</f>
        <v>0.98150000000000004</v>
      </c>
      <c r="K59" s="186">
        <f>MEDIAN(K44:K53)</f>
        <v>0.94750000000000001</v>
      </c>
      <c r="L59" s="358">
        <f>SUM(L44:L53)</f>
        <v>2038.9834797000001</v>
      </c>
      <c r="M59" s="358">
        <f>ROUND(SUM(M44:M54),3)</f>
        <v>1931.9369999999999</v>
      </c>
      <c r="N59" s="377">
        <f>SUM(N44:N53)</f>
        <v>1929.6939651880803</v>
      </c>
    </row>
    <row r="61" spans="2:15" ht="13.8" customHeight="1">
      <c r="B61" s="390" t="s">
        <v>94</v>
      </c>
      <c r="C61" s="390"/>
      <c r="D61" s="157"/>
      <c r="E61" s="392" t="s">
        <v>95</v>
      </c>
      <c r="F61" s="392"/>
      <c r="G61" s="157"/>
      <c r="H61" s="87"/>
      <c r="I61" s="102" t="s">
        <v>96</v>
      </c>
      <c r="J61" s="103"/>
      <c r="K61" s="103"/>
      <c r="L61" s="104"/>
      <c r="M61" s="104">
        <f>N35-N59</f>
        <v>579.37721497656003</v>
      </c>
      <c r="N61" s="96" t="s">
        <v>65</v>
      </c>
    </row>
    <row r="62" spans="2:15">
      <c r="B62" s="391"/>
      <c r="C62" s="391"/>
      <c r="D62" s="158"/>
      <c r="E62" s="393"/>
      <c r="F62" s="393"/>
      <c r="G62" s="158"/>
      <c r="H62" s="87"/>
      <c r="I62" s="87"/>
      <c r="J62" s="87"/>
      <c r="K62" s="87"/>
      <c r="L62" s="87"/>
      <c r="M62" s="87"/>
      <c r="N62" s="100"/>
    </row>
    <row r="63" spans="2:15">
      <c r="B63" s="188">
        <v>0.94750000000000001</v>
      </c>
      <c r="C63" s="189"/>
      <c r="D63" s="190"/>
      <c r="E63" s="191">
        <v>0.94430000000000003</v>
      </c>
      <c r="F63" s="192"/>
      <c r="G63" s="193"/>
      <c r="H63" s="88"/>
      <c r="I63" s="105" t="s">
        <v>97</v>
      </c>
      <c r="J63" s="103"/>
      <c r="K63" s="103"/>
      <c r="L63" s="104"/>
      <c r="M63" s="104">
        <f>((K40-K16)*J59)*K59</f>
        <v>581.04603700069288</v>
      </c>
      <c r="N63" s="96" t="s">
        <v>98</v>
      </c>
    </row>
    <row r="64" spans="2:15">
      <c r="B64" s="106"/>
      <c r="C64" s="106"/>
      <c r="D64" s="225"/>
      <c r="E64" s="87"/>
      <c r="F64" s="87"/>
      <c r="G64" s="87"/>
      <c r="H64" s="87"/>
      <c r="I64" s="87"/>
      <c r="J64" s="87"/>
      <c r="K64" s="87"/>
      <c r="L64" s="87"/>
      <c r="M64" s="87"/>
      <c r="N64" s="87"/>
    </row>
    <row r="65" spans="2:14">
      <c r="B65" s="87"/>
      <c r="C65" s="87"/>
      <c r="D65" s="203"/>
      <c r="E65" s="87"/>
      <c r="F65" s="87"/>
      <c r="G65" s="87"/>
      <c r="H65" s="87"/>
      <c r="I65" s="87"/>
      <c r="J65" s="87"/>
      <c r="K65" s="87"/>
      <c r="L65" s="87"/>
      <c r="M65" s="87"/>
      <c r="N65" s="87"/>
    </row>
    <row r="66" spans="2:14">
      <c r="B66" s="87" t="s">
        <v>99</v>
      </c>
      <c r="C66" s="87"/>
      <c r="D66" s="203" t="s">
        <v>100</v>
      </c>
      <c r="E66" s="87"/>
      <c r="F66" s="87"/>
      <c r="G66" s="87"/>
      <c r="H66" s="87"/>
      <c r="I66" s="87"/>
      <c r="J66" s="87"/>
      <c r="K66" s="87"/>
      <c r="L66" s="87"/>
      <c r="M66" s="87"/>
      <c r="N66" s="87"/>
    </row>
    <row r="67" spans="2:14">
      <c r="B67" s="87" t="s">
        <v>101</v>
      </c>
      <c r="C67" s="87"/>
      <c r="D67" s="194">
        <v>43273</v>
      </c>
      <c r="E67" s="194"/>
      <c r="F67" s="87"/>
      <c r="G67" s="87"/>
      <c r="H67" s="87"/>
      <c r="I67" s="87"/>
      <c r="J67" s="87"/>
      <c r="K67" s="87"/>
      <c r="L67" s="194"/>
      <c r="M67" s="87"/>
      <c r="N67" s="87"/>
    </row>
    <row r="68" spans="2:14">
      <c r="B68" s="87" t="s">
        <v>102</v>
      </c>
      <c r="C68" s="87"/>
      <c r="D68" s="226">
        <v>9054</v>
      </c>
      <c r="E68" s="87"/>
      <c r="F68" s="87"/>
      <c r="G68" s="87"/>
      <c r="H68" s="87"/>
      <c r="I68" s="87"/>
      <c r="J68" s="87"/>
      <c r="K68" s="87"/>
      <c r="L68" s="195"/>
      <c r="M68" s="87"/>
      <c r="N68" s="87"/>
    </row>
    <row r="69" spans="2:14"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</row>
    <row r="70" spans="2:14">
      <c r="B70" s="87" t="s">
        <v>103</v>
      </c>
      <c r="C70" s="87"/>
      <c r="D70" s="87" t="s">
        <v>104</v>
      </c>
      <c r="E70" s="87"/>
      <c r="F70" s="87"/>
      <c r="G70" s="87"/>
      <c r="H70" s="87"/>
      <c r="I70" s="87"/>
      <c r="J70" s="87"/>
      <c r="K70" s="87"/>
      <c r="L70" s="87"/>
      <c r="M70" s="87"/>
      <c r="N70" s="87"/>
    </row>
    <row r="71" spans="2:14">
      <c r="B71" s="87"/>
      <c r="C71" s="87"/>
      <c r="D71" s="87"/>
      <c r="E71" s="87"/>
      <c r="F71" s="87"/>
      <c r="G71" s="87"/>
      <c r="H71" s="87"/>
      <c r="I71" s="87"/>
      <c r="J71" s="87"/>
      <c r="K71" s="107"/>
      <c r="L71" s="87"/>
      <c r="M71" s="87"/>
      <c r="N71" s="87"/>
    </row>
    <row r="72" spans="2:14"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</row>
    <row r="73" spans="2:14"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</row>
    <row r="74" spans="2:14">
      <c r="E74" s="203"/>
      <c r="J74" s="203"/>
    </row>
    <row r="75" spans="2:14">
      <c r="C75" s="26"/>
      <c r="D75" s="159"/>
      <c r="E75" s="159"/>
      <c r="H75" s="27"/>
      <c r="J75" s="28"/>
    </row>
    <row r="76" spans="2:14">
      <c r="D76" s="15"/>
      <c r="E76" s="15"/>
    </row>
    <row r="77" spans="2:14" ht="14.4">
      <c r="C77" s="7" t="s">
        <v>72</v>
      </c>
      <c r="D77" s="7"/>
      <c r="E77" s="156" t="str">
        <f>'Vessel Ullage'!D96</f>
        <v xml:space="preserve"> Enjaynes, Leo Mark Abellare</v>
      </c>
      <c r="F77" s="156"/>
      <c r="G77" s="156"/>
      <c r="I77" s="7" t="s">
        <v>74</v>
      </c>
      <c r="J77" s="196" t="str">
        <f>'Vessel Ullage'!K96</f>
        <v>Abreu, Wagner de</v>
      </c>
      <c r="K77" s="196"/>
      <c r="L77" s="196"/>
    </row>
  </sheetData>
  <sheetProtection selectLockedCells="1"/>
  <mergeCells count="43">
    <mergeCell ref="M17:N17"/>
    <mergeCell ref="K18:K19"/>
    <mergeCell ref="J42:J43"/>
    <mergeCell ref="M41:N41"/>
    <mergeCell ref="M42:M43"/>
    <mergeCell ref="N42:N43"/>
    <mergeCell ref="K42:K43"/>
    <mergeCell ref="L42:L43"/>
    <mergeCell ref="J41:K41"/>
    <mergeCell ref="N18:N19"/>
    <mergeCell ref="M18:M19"/>
    <mergeCell ref="D42:D43"/>
    <mergeCell ref="E42:E43"/>
    <mergeCell ref="J18:J19"/>
    <mergeCell ref="B16:I16"/>
    <mergeCell ref="B40:I40"/>
    <mergeCell ref="B42:B43"/>
    <mergeCell ref="C18:C19"/>
    <mergeCell ref="C42:C43"/>
    <mergeCell ref="F42:F43"/>
    <mergeCell ref="I42:I43"/>
    <mergeCell ref="B35:H35"/>
    <mergeCell ref="K40:M40"/>
    <mergeCell ref="G42:H42"/>
    <mergeCell ref="B59:H59"/>
    <mergeCell ref="B61:C62"/>
    <mergeCell ref="E61:F62"/>
    <mergeCell ref="H1:M1"/>
    <mergeCell ref="J13:L13"/>
    <mergeCell ref="B7:L7"/>
    <mergeCell ref="B18:B19"/>
    <mergeCell ref="D18:D19"/>
    <mergeCell ref="E18:E19"/>
    <mergeCell ref="F18:F19"/>
    <mergeCell ref="D12:E12"/>
    <mergeCell ref="H2:N2"/>
    <mergeCell ref="I3:N3"/>
    <mergeCell ref="H4:N4"/>
    <mergeCell ref="H5:M5"/>
    <mergeCell ref="L18:L19"/>
    <mergeCell ref="G18:H18"/>
    <mergeCell ref="I18:I19"/>
    <mergeCell ref="K16:M16"/>
  </mergeCells>
  <phoneticPr fontId="0" type="noConversion"/>
  <hyperlinks>
    <hyperlink ref="H4" r:id="rId1" xr:uid="{00000000-0004-0000-0100-000000000000}"/>
  </hyperlinks>
  <pageMargins left="0.31496062992125984" right="0.23622047244094491" top="0.98425196850393704" bottom="0.98425196850393704" header="0.51181102362204722" footer="0.51181102362204722"/>
  <pageSetup paperSize="9" scale="85" orientation="portrait" blackAndWhite="1" horizontalDpi="300" verticalDpi="300" r:id="rId2"/>
  <headerFooter alignWithMargins="0"/>
  <colBreaks count="1" manualBreakCount="1">
    <brk id="14" max="105" man="1"/>
  </colBreaks>
  <ignoredErrors>
    <ignoredError sqref="D11" unlockedFormula="1"/>
  </ignoredError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Y57"/>
  <sheetViews>
    <sheetView showGridLines="0" zoomScaleNormal="100" workbookViewId="0">
      <selection activeCell="G28" sqref="G28"/>
    </sheetView>
  </sheetViews>
  <sheetFormatPr defaultColWidth="9.109375" defaultRowHeight="13.8"/>
  <cols>
    <col min="1" max="2" width="9.109375" style="18"/>
    <col min="3" max="3" width="19.21875" style="18" customWidth="1"/>
    <col min="4" max="4" width="8.88671875" style="19" customWidth="1"/>
    <col min="5" max="6" width="8" style="19" customWidth="1"/>
    <col min="7" max="7" width="2.109375" style="18" customWidth="1"/>
    <col min="8" max="9" width="9.109375" style="18"/>
    <col min="10" max="10" width="18.77734375" style="18" customWidth="1"/>
    <col min="11" max="11" width="8.44140625" style="18" bestFit="1" customWidth="1"/>
    <col min="12" max="16384" width="9.109375" style="18"/>
  </cols>
  <sheetData>
    <row r="2" spans="1:15" ht="12.75" customHeight="1">
      <c r="F2" s="230" t="s">
        <v>0</v>
      </c>
      <c r="G2" s="230"/>
      <c r="H2" s="230"/>
      <c r="I2" s="230"/>
      <c r="J2" s="230"/>
      <c r="K2" s="230"/>
      <c r="L2" s="29"/>
      <c r="M2" s="29"/>
      <c r="N2" s="29"/>
    </row>
    <row r="3" spans="1:15" ht="12.75" customHeight="1">
      <c r="G3" s="236" t="s">
        <v>1</v>
      </c>
      <c r="H3" s="236"/>
      <c r="I3" s="236"/>
      <c r="J3" s="236"/>
      <c r="K3" s="236"/>
      <c r="L3" s="30"/>
      <c r="M3" s="31"/>
      <c r="N3" s="31"/>
    </row>
    <row r="4" spans="1:15" ht="12.75" customHeight="1">
      <c r="F4" s="273" t="s">
        <v>2</v>
      </c>
      <c r="G4" s="273"/>
      <c r="H4" s="273"/>
      <c r="I4" s="273"/>
      <c r="J4" s="273"/>
      <c r="K4" s="273"/>
      <c r="L4" s="32"/>
      <c r="M4" s="31"/>
      <c r="N4" s="31"/>
    </row>
    <row r="5" spans="1:15">
      <c r="G5" s="284"/>
      <c r="H5" s="284"/>
      <c r="I5" s="284"/>
      <c r="J5" s="284"/>
      <c r="K5" s="284"/>
      <c r="L5" s="32"/>
      <c r="M5" s="32"/>
      <c r="N5" s="32"/>
      <c r="O5" s="6"/>
    </row>
    <row r="6" spans="1:15" ht="12.75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</row>
    <row r="7" spans="1:15" ht="12.75" customHeight="1">
      <c r="A7" s="285" t="s">
        <v>105</v>
      </c>
      <c r="B7" s="285"/>
      <c r="C7" s="285"/>
      <c r="D7" s="285"/>
      <c r="E7" s="285"/>
      <c r="F7" s="285"/>
      <c r="G7" s="285"/>
      <c r="H7" s="285"/>
      <c r="I7" s="285"/>
      <c r="J7" s="285"/>
      <c r="K7" s="285"/>
      <c r="L7" s="285"/>
    </row>
    <row r="9" spans="1:15">
      <c r="A9" s="6" t="s">
        <v>4</v>
      </c>
      <c r="B9" s="6"/>
      <c r="C9" s="6" t="str">
        <f>'Vessel Ullage'!C8</f>
        <v>Densa Pelican</v>
      </c>
      <c r="D9" s="6"/>
      <c r="E9" s="6" t="s">
        <v>6</v>
      </c>
      <c r="F9" s="6"/>
      <c r="G9" s="6" t="str">
        <f>'Vessel Ullage'!I8</f>
        <v>VLSFO</v>
      </c>
      <c r="K9" s="6"/>
    </row>
    <row r="10" spans="1:15">
      <c r="A10" s="6"/>
      <c r="B10" s="6"/>
      <c r="C10" s="6"/>
      <c r="D10" s="6"/>
      <c r="E10" s="6" t="s">
        <v>8</v>
      </c>
      <c r="F10" s="6"/>
      <c r="G10" s="6" t="str">
        <f>'Vessel Ullage'!I9</f>
        <v>Santos Port - LOCAL</v>
      </c>
      <c r="K10" s="6"/>
    </row>
    <row r="11" spans="1:15">
      <c r="A11" s="6" t="s">
        <v>10</v>
      </c>
      <c r="B11" s="6"/>
      <c r="C11" s="17" t="str">
        <f>'Vessel Ullage'!C10</f>
        <v>XXXXXXXXXXXX</v>
      </c>
      <c r="D11" s="17"/>
      <c r="E11" s="6" t="s">
        <v>12</v>
      </c>
      <c r="F11" s="6"/>
      <c r="G11" s="6" t="str">
        <f>'Vessel Ullage'!I10</f>
        <v>January 00th, 2023</v>
      </c>
      <c r="K11" s="6"/>
    </row>
    <row r="12" spans="1:15">
      <c r="A12" s="6"/>
      <c r="B12" s="6"/>
      <c r="C12" s="277"/>
      <c r="D12" s="277"/>
      <c r="E12" s="6" t="s">
        <v>14</v>
      </c>
      <c r="F12" s="6"/>
      <c r="G12" s="6" t="str">
        <f>'Vessel Ullage'!I11</f>
        <v>00:00 x 00:00 h/LT</v>
      </c>
      <c r="K12" s="6"/>
    </row>
    <row r="13" spans="1:15" ht="12.75" customHeight="1">
      <c r="D13" s="18"/>
      <c r="E13" s="18"/>
      <c r="F13" s="18"/>
    </row>
    <row r="15" spans="1:15">
      <c r="A15" s="286" t="s">
        <v>106</v>
      </c>
      <c r="B15" s="286"/>
      <c r="C15" s="287"/>
      <c r="D15" s="34" t="s">
        <v>107</v>
      </c>
      <c r="E15" s="287" t="s">
        <v>108</v>
      </c>
      <c r="F15" s="288"/>
      <c r="H15" s="279"/>
      <c r="I15" s="279"/>
      <c r="J15" s="279"/>
      <c r="K15" s="35"/>
      <c r="L15" s="35"/>
    </row>
    <row r="16" spans="1:15">
      <c r="A16" s="280" t="s">
        <v>109</v>
      </c>
      <c r="B16" s="281"/>
      <c r="C16" s="282"/>
      <c r="D16" s="84">
        <v>43612</v>
      </c>
      <c r="E16" s="85">
        <v>0.3666666666666667</v>
      </c>
      <c r="F16" s="85"/>
      <c r="H16" s="278"/>
      <c r="I16" s="278"/>
      <c r="J16" s="278"/>
      <c r="K16" s="37"/>
      <c r="L16" s="38"/>
    </row>
    <row r="17" spans="1:25">
      <c r="A17" s="274" t="s">
        <v>110</v>
      </c>
      <c r="B17" s="275"/>
      <c r="C17" s="283"/>
      <c r="D17" s="84">
        <v>43612</v>
      </c>
      <c r="E17" s="85">
        <v>0.4513888888888889</v>
      </c>
      <c r="F17" s="85"/>
      <c r="H17" s="36"/>
      <c r="I17" s="36"/>
      <c r="J17" s="36"/>
      <c r="K17" s="37"/>
      <c r="L17" s="38"/>
      <c r="Y17" s="42">
        <v>21418555</v>
      </c>
    </row>
    <row r="18" spans="1:25">
      <c r="A18" s="39" t="s">
        <v>111</v>
      </c>
      <c r="B18" s="40"/>
      <c r="C18" s="40"/>
      <c r="D18" s="84">
        <v>43612</v>
      </c>
      <c r="E18" s="85">
        <v>0.45833333333333331</v>
      </c>
      <c r="F18" s="85">
        <v>0.4861111111111111</v>
      </c>
      <c r="H18" s="36"/>
      <c r="I18" s="36"/>
      <c r="J18" s="36"/>
      <c r="K18" s="37"/>
      <c r="L18" s="38"/>
    </row>
    <row r="19" spans="1:25">
      <c r="A19" s="39" t="s">
        <v>112</v>
      </c>
      <c r="B19" s="40"/>
      <c r="C19" s="41"/>
      <c r="D19" s="84">
        <v>43737</v>
      </c>
      <c r="E19" s="85">
        <v>0.4861111111111111</v>
      </c>
      <c r="F19" s="85"/>
      <c r="H19" s="36"/>
      <c r="I19" s="36"/>
      <c r="J19" s="36"/>
      <c r="K19" s="37"/>
      <c r="L19" s="38"/>
    </row>
    <row r="20" spans="1:25">
      <c r="A20" s="39" t="s">
        <v>113</v>
      </c>
      <c r="B20" s="40"/>
      <c r="C20" s="40"/>
      <c r="D20" s="84">
        <v>43737</v>
      </c>
      <c r="E20" s="85">
        <v>0.47569444444444442</v>
      </c>
      <c r="F20" s="85"/>
      <c r="H20" s="36"/>
      <c r="I20" s="36"/>
      <c r="J20" s="36"/>
      <c r="K20" s="37"/>
      <c r="L20" s="38"/>
    </row>
    <row r="21" spans="1:25">
      <c r="A21" s="39" t="s">
        <v>114</v>
      </c>
      <c r="B21" s="40"/>
      <c r="C21" s="40"/>
      <c r="D21" s="84">
        <v>43737</v>
      </c>
      <c r="E21" s="85">
        <v>0.48958333333333331</v>
      </c>
      <c r="F21" s="85">
        <v>0.5</v>
      </c>
      <c r="G21" s="43"/>
      <c r="H21" s="36"/>
      <c r="I21" s="36"/>
      <c r="J21" s="36"/>
      <c r="K21" s="37"/>
      <c r="L21" s="38"/>
    </row>
    <row r="22" spans="1:25">
      <c r="A22" s="290" t="s">
        <v>115</v>
      </c>
      <c r="B22" s="291"/>
      <c r="C22" s="292"/>
      <c r="D22" s="84">
        <v>43737</v>
      </c>
      <c r="E22" s="85">
        <v>0.5</v>
      </c>
      <c r="F22" s="85">
        <v>0.52083333333333337</v>
      </c>
      <c r="G22" s="43"/>
      <c r="H22" s="36"/>
      <c r="I22" s="36"/>
      <c r="J22" s="36"/>
      <c r="K22" s="37"/>
      <c r="L22" s="38"/>
    </row>
    <row r="23" spans="1:25" ht="12.75" customHeight="1">
      <c r="A23" s="39" t="s">
        <v>116</v>
      </c>
      <c r="B23" s="40"/>
      <c r="C23" s="41"/>
      <c r="D23" s="84">
        <v>43737</v>
      </c>
      <c r="E23" s="85">
        <v>0.49652777777777773</v>
      </c>
      <c r="F23" s="85"/>
      <c r="G23" s="43"/>
      <c r="H23" s="36"/>
      <c r="I23" s="36"/>
      <c r="J23" s="36"/>
      <c r="K23" s="37"/>
      <c r="L23" s="38"/>
    </row>
    <row r="24" spans="1:25">
      <c r="A24" s="290" t="s">
        <v>117</v>
      </c>
      <c r="B24" s="291"/>
      <c r="C24" s="292"/>
      <c r="D24" s="84">
        <v>43737</v>
      </c>
      <c r="E24" s="85">
        <v>0.51041666666666663</v>
      </c>
      <c r="F24" s="85">
        <v>0.53125</v>
      </c>
      <c r="G24" s="43"/>
      <c r="H24" s="36"/>
      <c r="I24" s="36"/>
      <c r="J24" s="36"/>
      <c r="K24" s="37"/>
      <c r="L24" s="38"/>
    </row>
    <row r="25" spans="1:25">
      <c r="A25" s="39" t="s">
        <v>118</v>
      </c>
      <c r="B25" s="44"/>
      <c r="C25" s="44"/>
      <c r="D25" s="84">
        <v>43737</v>
      </c>
      <c r="E25" s="85">
        <v>0.52430555555555558</v>
      </c>
      <c r="F25" s="85"/>
      <c r="G25" s="43"/>
      <c r="H25" s="36"/>
      <c r="I25" s="36"/>
      <c r="J25" s="36"/>
      <c r="K25" s="37"/>
      <c r="L25" s="38"/>
    </row>
    <row r="26" spans="1:25">
      <c r="A26" s="39" t="s">
        <v>119</v>
      </c>
      <c r="B26" s="40"/>
      <c r="C26" s="40"/>
      <c r="D26" s="84">
        <v>43737</v>
      </c>
      <c r="E26" s="85">
        <v>0.52777777777777779</v>
      </c>
      <c r="F26" s="85">
        <v>0.64236111111111105</v>
      </c>
      <c r="G26" s="43"/>
      <c r="H26" s="36"/>
      <c r="I26" s="36"/>
      <c r="J26" s="36"/>
      <c r="K26" s="37"/>
      <c r="L26" s="38"/>
    </row>
    <row r="27" spans="1:25">
      <c r="A27" s="290" t="s">
        <v>120</v>
      </c>
      <c r="B27" s="291"/>
      <c r="C27" s="292"/>
      <c r="D27" s="84">
        <v>43737</v>
      </c>
      <c r="E27" s="85">
        <v>0.64583333333333337</v>
      </c>
      <c r="F27" s="85">
        <v>0.66666666666666663</v>
      </c>
      <c r="G27" s="43"/>
      <c r="H27" s="36"/>
      <c r="I27" s="36"/>
      <c r="J27" s="36"/>
      <c r="K27" s="37"/>
      <c r="L27" s="38"/>
    </row>
    <row r="28" spans="1:25">
      <c r="A28" s="290" t="s">
        <v>121</v>
      </c>
      <c r="B28" s="291"/>
      <c r="C28" s="292"/>
      <c r="D28" s="84">
        <v>43737</v>
      </c>
      <c r="E28" s="85">
        <v>0.66666666666666663</v>
      </c>
      <c r="F28" s="85">
        <v>0.6875</v>
      </c>
      <c r="G28" s="43"/>
      <c r="H28" s="36"/>
      <c r="I28" s="36"/>
      <c r="J28" s="36"/>
      <c r="K28" s="37"/>
      <c r="L28" s="38"/>
    </row>
    <row r="29" spans="1:25">
      <c r="A29" s="290" t="s">
        <v>122</v>
      </c>
      <c r="B29" s="291"/>
      <c r="C29" s="292"/>
      <c r="D29" s="84">
        <v>43737</v>
      </c>
      <c r="E29" s="85">
        <v>0.6875</v>
      </c>
      <c r="F29" s="85">
        <v>0.70833333333333337</v>
      </c>
      <c r="G29" s="43"/>
      <c r="H29" s="36"/>
      <c r="I29" s="36"/>
      <c r="J29" s="36"/>
      <c r="K29" s="37"/>
      <c r="L29" s="38"/>
    </row>
    <row r="30" spans="1:25">
      <c r="A30" s="290" t="s">
        <v>123</v>
      </c>
      <c r="B30" s="291"/>
      <c r="C30" s="292"/>
      <c r="D30" s="84">
        <v>43737</v>
      </c>
      <c r="E30" s="85">
        <v>0.70833333333333337</v>
      </c>
      <c r="F30" s="85">
        <v>0.72916666666666663</v>
      </c>
      <c r="G30" s="43"/>
      <c r="H30" s="36"/>
      <c r="I30" s="36"/>
      <c r="J30" s="36"/>
      <c r="K30" s="37"/>
      <c r="L30" s="38"/>
    </row>
    <row r="31" spans="1:25">
      <c r="A31" s="39" t="s">
        <v>124</v>
      </c>
      <c r="B31" s="40"/>
      <c r="C31" s="40"/>
      <c r="D31" s="84">
        <v>43737</v>
      </c>
      <c r="E31" s="85">
        <v>0.66666666666666663</v>
      </c>
      <c r="F31" s="85">
        <v>0.6875</v>
      </c>
      <c r="G31" s="43"/>
      <c r="H31" s="278"/>
      <c r="I31" s="278"/>
      <c r="J31" s="278"/>
      <c r="K31" s="37"/>
      <c r="L31" s="45"/>
    </row>
    <row r="32" spans="1:25">
      <c r="A32" s="274" t="s">
        <v>125</v>
      </c>
      <c r="B32" s="275"/>
      <c r="C32" s="275"/>
      <c r="D32" s="84">
        <v>43737</v>
      </c>
      <c r="E32" s="85">
        <v>0.72916666666666663</v>
      </c>
      <c r="F32" s="85"/>
      <c r="G32" s="43"/>
      <c r="H32" s="276"/>
      <c r="I32" s="276"/>
      <c r="J32" s="276"/>
      <c r="K32" s="43"/>
      <c r="L32" s="45"/>
    </row>
    <row r="33" spans="1:13">
      <c r="A33" s="295"/>
      <c r="B33" s="295"/>
      <c r="C33" s="295"/>
    </row>
    <row r="34" spans="1:13" ht="12.75" customHeight="1">
      <c r="A34" s="289"/>
      <c r="B34" s="289"/>
      <c r="C34" s="289"/>
    </row>
    <row r="35" spans="1:13">
      <c r="A35" s="294" t="s">
        <v>126</v>
      </c>
      <c r="B35" s="294"/>
      <c r="C35" s="294"/>
    </row>
    <row r="36" spans="1:13">
      <c r="A36" s="83" t="s">
        <v>127</v>
      </c>
      <c r="D36" s="37"/>
      <c r="E36" s="37"/>
      <c r="G36" s="17"/>
      <c r="M36" s="17"/>
    </row>
    <row r="37" spans="1:13">
      <c r="D37" s="37"/>
      <c r="E37" s="37"/>
      <c r="F37" s="38"/>
      <c r="G37" s="17"/>
      <c r="M37" s="17"/>
    </row>
    <row r="45" spans="1:13">
      <c r="A45" s="18" t="s">
        <v>128</v>
      </c>
    </row>
    <row r="55" spans="1:11">
      <c r="G55" s="46"/>
      <c r="H55" s="47"/>
      <c r="I55" s="47"/>
      <c r="K55" s="48"/>
    </row>
    <row r="56" spans="1:11">
      <c r="A56" s="7" t="s">
        <v>72</v>
      </c>
      <c r="B56" s="7"/>
      <c r="C56" s="293" t="str">
        <f>'Vessel Ullage'!D96</f>
        <v xml:space="preserve"> Enjaynes, Leo Mark Abellare</v>
      </c>
      <c r="D56" s="293"/>
      <c r="E56" s="15"/>
      <c r="G56" s="295" t="s">
        <v>74</v>
      </c>
      <c r="H56" s="295"/>
      <c r="I56" s="293" t="str">
        <f>'Vessel Ullage'!K96</f>
        <v>Abreu, Wagner de</v>
      </c>
      <c r="J56" s="293"/>
      <c r="K56" s="293"/>
    </row>
    <row r="57" spans="1:11">
      <c r="A57" s="17"/>
    </row>
  </sheetData>
  <sheetProtection selectLockedCells="1"/>
  <mergeCells count="27">
    <mergeCell ref="A34:C34"/>
    <mergeCell ref="A22:C22"/>
    <mergeCell ref="C56:D56"/>
    <mergeCell ref="A35:C35"/>
    <mergeCell ref="I56:K56"/>
    <mergeCell ref="A33:C33"/>
    <mergeCell ref="G56:H56"/>
    <mergeCell ref="A24:C24"/>
    <mergeCell ref="A27:C27"/>
    <mergeCell ref="A28:C28"/>
    <mergeCell ref="A29:C29"/>
    <mergeCell ref="A30:C30"/>
    <mergeCell ref="F2:K2"/>
    <mergeCell ref="G3:K3"/>
    <mergeCell ref="F4:K4"/>
    <mergeCell ref="A32:C32"/>
    <mergeCell ref="H32:J32"/>
    <mergeCell ref="C12:D12"/>
    <mergeCell ref="H31:J31"/>
    <mergeCell ref="H15:J15"/>
    <mergeCell ref="H16:J16"/>
    <mergeCell ref="A16:C16"/>
    <mergeCell ref="A17:C17"/>
    <mergeCell ref="G5:K5"/>
    <mergeCell ref="A7:L7"/>
    <mergeCell ref="A15:C15"/>
    <mergeCell ref="E15:F15"/>
  </mergeCells>
  <phoneticPr fontId="0" type="noConversion"/>
  <hyperlinks>
    <hyperlink ref="F4" r:id="rId1" xr:uid="{00000000-0004-0000-0200-000000000000}"/>
  </hyperlinks>
  <pageMargins left="0.31496062992125984" right="0.23622047244094491" top="0.98425196850393704" bottom="0.98425196850393704" header="0.51181102362204722" footer="0.51181102362204722"/>
  <pageSetup paperSize="9" scale="85" orientation="portrait" blackAndWhite="1" horizontalDpi="300" verticalDpi="300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showGridLines="0" topLeftCell="A6" zoomScaleNormal="100" workbookViewId="0">
      <selection activeCell="D27" sqref="D27:E27"/>
    </sheetView>
  </sheetViews>
  <sheetFormatPr defaultColWidth="9.109375" defaultRowHeight="13.8"/>
  <cols>
    <col min="1" max="2" width="9.109375" style="6"/>
    <col min="3" max="3" width="12.21875" style="6" customWidth="1"/>
    <col min="4" max="4" width="12.109375" style="6" customWidth="1"/>
    <col min="5" max="5" width="14" style="6" customWidth="1"/>
    <col min="6" max="6" width="3.5546875" style="6" customWidth="1"/>
    <col min="7" max="7" width="13.77734375" style="6" customWidth="1"/>
    <col min="8" max="16384" width="9.109375" style="6"/>
  </cols>
  <sheetData>
    <row r="1" spans="1:12">
      <c r="A1" s="5"/>
      <c r="B1" s="5"/>
      <c r="C1" s="5"/>
      <c r="D1" s="5"/>
      <c r="E1" s="5"/>
      <c r="F1" s="5"/>
      <c r="G1" s="5"/>
      <c r="H1" s="5"/>
      <c r="I1" s="5"/>
      <c r="J1" s="5"/>
      <c r="K1" s="8"/>
    </row>
    <row r="2" spans="1:12" ht="15.6">
      <c r="A2" s="5"/>
      <c r="B2" s="5"/>
      <c r="C2" s="5"/>
      <c r="D2" s="5"/>
      <c r="E2" s="5"/>
      <c r="F2" s="8"/>
      <c r="G2" s="230" t="s">
        <v>0</v>
      </c>
      <c r="H2" s="230"/>
      <c r="I2" s="230"/>
      <c r="J2" s="230"/>
      <c r="K2" s="230"/>
      <c r="L2" s="29"/>
    </row>
    <row r="3" spans="1:12" ht="12.75" customHeight="1">
      <c r="A3" s="5"/>
      <c r="B3" s="5"/>
      <c r="C3" s="5"/>
      <c r="D3" s="5"/>
      <c r="E3" s="5"/>
      <c r="F3" s="8"/>
      <c r="G3" s="236" t="s">
        <v>1</v>
      </c>
      <c r="H3" s="236"/>
      <c r="I3" s="236"/>
      <c r="J3" s="236"/>
      <c r="K3" s="236"/>
      <c r="L3" s="30"/>
    </row>
    <row r="4" spans="1:12" ht="12.75" customHeight="1">
      <c r="A4" s="5"/>
      <c r="B4" s="5"/>
      <c r="C4" s="5"/>
      <c r="D4" s="5"/>
      <c r="E4" s="5"/>
      <c r="F4" s="237" t="s">
        <v>2</v>
      </c>
      <c r="G4" s="237"/>
      <c r="H4" s="237"/>
      <c r="I4" s="237"/>
      <c r="J4" s="237"/>
      <c r="K4" s="237"/>
      <c r="L4" s="32"/>
    </row>
    <row r="5" spans="1:12" ht="12.75" customHeight="1">
      <c r="A5" s="9"/>
      <c r="B5" s="9"/>
      <c r="C5" s="9"/>
      <c r="D5" s="9"/>
      <c r="E5" s="9"/>
      <c r="F5" s="9"/>
      <c r="G5" s="238"/>
      <c r="H5" s="238"/>
      <c r="I5" s="238"/>
      <c r="J5" s="238"/>
      <c r="K5" s="238"/>
      <c r="L5" s="284"/>
    </row>
    <row r="6" spans="1:12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2" ht="12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2" ht="12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2" ht="12.75" customHeight="1">
      <c r="A9" s="317" t="s">
        <v>129</v>
      </c>
      <c r="B9" s="317"/>
      <c r="C9" s="317"/>
      <c r="D9" s="317"/>
      <c r="E9" s="317"/>
      <c r="F9" s="317"/>
      <c r="G9" s="317"/>
      <c r="H9" s="317"/>
      <c r="I9" s="317"/>
      <c r="J9" s="317"/>
      <c r="K9" s="317"/>
    </row>
    <row r="11" spans="1:12">
      <c r="A11" s="5" t="s">
        <v>4</v>
      </c>
      <c r="C11" s="6" t="str">
        <f>'Vessel Ullage'!C8</f>
        <v>Densa Pelican</v>
      </c>
      <c r="E11" s="49" t="s">
        <v>6</v>
      </c>
      <c r="G11" s="6" t="str">
        <f>'Vessel Ullage'!I8</f>
        <v>VLSFO</v>
      </c>
    </row>
    <row r="12" spans="1:12">
      <c r="A12" s="5"/>
      <c r="E12" s="5" t="s">
        <v>8</v>
      </c>
      <c r="G12" s="6" t="str">
        <f>'Vessel Ullage'!I9</f>
        <v>Santos Port - LOCAL</v>
      </c>
    </row>
    <row r="13" spans="1:12">
      <c r="A13" s="5" t="s">
        <v>10</v>
      </c>
      <c r="C13" s="197" t="str">
        <f>'Vessel Ullage'!C10</f>
        <v>XXXXXXXXXXXX</v>
      </c>
      <c r="D13" s="197"/>
      <c r="E13" s="5" t="s">
        <v>12</v>
      </c>
      <c r="G13" s="6" t="str">
        <f>'Vessel Ullage'!I10</f>
        <v>January 00th, 2023</v>
      </c>
    </row>
    <row r="14" spans="1:12">
      <c r="C14" s="277"/>
      <c r="D14" s="277"/>
      <c r="E14" s="5" t="s">
        <v>14</v>
      </c>
      <c r="G14" s="6" t="str">
        <f>'Vessel Ullage'!I11</f>
        <v>00:00 x 00:00 h/LT</v>
      </c>
    </row>
    <row r="17" spans="1:11">
      <c r="A17" s="6" t="s">
        <v>130</v>
      </c>
    </row>
    <row r="18" spans="1:11" ht="14.4" thickBot="1"/>
    <row r="19" spans="1:11">
      <c r="A19" s="318" t="s">
        <v>131</v>
      </c>
      <c r="B19" s="319"/>
      <c r="C19" s="319"/>
      <c r="D19" s="302" t="str">
        <f>'Vessel Ullage'!C10</f>
        <v>XXXXXXXXXXXX</v>
      </c>
      <c r="E19" s="303"/>
      <c r="F19" s="87"/>
      <c r="G19" s="87"/>
      <c r="H19" s="198"/>
      <c r="I19" s="198"/>
      <c r="J19" s="198"/>
      <c r="K19" s="198"/>
    </row>
    <row r="20" spans="1:11">
      <c r="A20" s="298" t="s">
        <v>25</v>
      </c>
      <c r="B20" s="299"/>
      <c r="C20" s="299"/>
      <c r="D20" s="320" t="str">
        <f>'Vessel Ullage'!I8</f>
        <v>VLSFO</v>
      </c>
      <c r="E20" s="321"/>
      <c r="F20" s="87"/>
      <c r="G20" s="87"/>
      <c r="H20" s="198"/>
      <c r="I20" s="198"/>
      <c r="J20" s="198"/>
      <c r="K20" s="198"/>
    </row>
    <row r="21" spans="1:11">
      <c r="A21" s="298" t="s">
        <v>132</v>
      </c>
      <c r="B21" s="299"/>
      <c r="C21" s="299"/>
      <c r="D21" s="322" t="s">
        <v>133</v>
      </c>
      <c r="E21" s="323"/>
      <c r="F21" s="172"/>
      <c r="G21" s="177"/>
      <c r="H21" s="198"/>
      <c r="I21" s="198"/>
      <c r="J21" s="198"/>
      <c r="K21" s="198"/>
    </row>
    <row r="22" spans="1:11">
      <c r="A22" s="296" t="s">
        <v>134</v>
      </c>
      <c r="B22" s="297"/>
      <c r="C22" s="297"/>
      <c r="D22" s="304" t="s">
        <v>135</v>
      </c>
      <c r="E22" s="305"/>
      <c r="F22" s="172"/>
      <c r="G22" s="177"/>
      <c r="H22" s="198"/>
      <c r="I22" s="198"/>
      <c r="J22" s="198"/>
      <c r="K22" s="198"/>
    </row>
    <row r="23" spans="1:11">
      <c r="A23" s="300" t="s">
        <v>136</v>
      </c>
      <c r="B23" s="301"/>
      <c r="C23" s="301"/>
      <c r="D23" s="316" t="s">
        <v>137</v>
      </c>
      <c r="E23" s="261"/>
      <c r="F23" s="310" t="s">
        <v>138</v>
      </c>
      <c r="G23" s="261"/>
      <c r="H23" s="198"/>
      <c r="I23" s="198"/>
      <c r="J23" s="198"/>
      <c r="K23" s="198"/>
    </row>
    <row r="24" spans="1:11">
      <c r="A24" s="313" t="s">
        <v>139</v>
      </c>
      <c r="B24" s="314"/>
      <c r="C24" s="315"/>
      <c r="D24" s="311" t="s">
        <v>140</v>
      </c>
      <c r="E24" s="312"/>
      <c r="F24" s="308" t="s">
        <v>141</v>
      </c>
      <c r="G24" s="309"/>
      <c r="H24" s="198"/>
      <c r="I24" s="198"/>
      <c r="J24" s="198"/>
      <c r="K24" s="198"/>
    </row>
    <row r="25" spans="1:11">
      <c r="A25" s="324" t="s">
        <v>142</v>
      </c>
      <c r="B25" s="325"/>
      <c r="C25" s="325"/>
      <c r="D25" s="247" t="s">
        <v>143</v>
      </c>
      <c r="E25" s="261"/>
      <c r="F25" s="248" t="s">
        <v>144</v>
      </c>
      <c r="G25" s="261"/>
      <c r="H25" s="198"/>
      <c r="I25" s="198"/>
      <c r="J25" s="198"/>
      <c r="K25" s="198"/>
    </row>
    <row r="26" spans="1:11">
      <c r="A26" s="326" t="s">
        <v>145</v>
      </c>
      <c r="B26" s="327"/>
      <c r="C26" s="327"/>
      <c r="D26" s="332" t="s">
        <v>146</v>
      </c>
      <c r="E26" s="331"/>
      <c r="F26" s="330" t="s">
        <v>147</v>
      </c>
      <c r="G26" s="331"/>
      <c r="H26" s="199"/>
      <c r="I26" s="199"/>
      <c r="J26" s="199"/>
      <c r="K26" s="199"/>
    </row>
    <row r="27" spans="1:11">
      <c r="A27" s="136" t="s">
        <v>148</v>
      </c>
      <c r="B27" s="137"/>
      <c r="C27" s="138"/>
      <c r="D27" s="333" t="s">
        <v>149</v>
      </c>
      <c r="E27" s="307"/>
      <c r="F27" s="306" t="s">
        <v>150</v>
      </c>
      <c r="G27" s="307"/>
      <c r="H27" s="199"/>
      <c r="I27" s="199"/>
      <c r="J27" s="199"/>
      <c r="K27" s="199"/>
    </row>
    <row r="28" spans="1:11">
      <c r="A28" s="328" t="s">
        <v>151</v>
      </c>
      <c r="B28" s="329"/>
      <c r="C28" s="329"/>
      <c r="D28" s="333" t="s">
        <v>152</v>
      </c>
      <c r="E28" s="307"/>
      <c r="F28" s="306" t="s">
        <v>153</v>
      </c>
      <c r="G28" s="307"/>
      <c r="H28" s="199"/>
      <c r="I28" s="199"/>
      <c r="J28" s="199"/>
      <c r="K28" s="199"/>
    </row>
    <row r="29" spans="1:11">
      <c r="A29" s="328" t="s">
        <v>154</v>
      </c>
      <c r="B29" s="329"/>
      <c r="C29" s="329"/>
      <c r="D29" s="333" t="s">
        <v>155</v>
      </c>
      <c r="E29" s="307"/>
      <c r="F29" s="306" t="s">
        <v>156</v>
      </c>
      <c r="G29" s="307"/>
      <c r="H29" s="199"/>
      <c r="I29" s="199"/>
      <c r="J29" s="199"/>
      <c r="K29" s="199"/>
    </row>
    <row r="30" spans="1:11" ht="14.4" thickBot="1">
      <c r="A30" s="296" t="s">
        <v>157</v>
      </c>
      <c r="B30" s="297"/>
      <c r="C30" s="297"/>
      <c r="D30" s="336">
        <v>2279524</v>
      </c>
      <c r="E30" s="335"/>
      <c r="F30" s="334" t="s">
        <v>158</v>
      </c>
      <c r="G30" s="335"/>
    </row>
    <row r="33" spans="1:12">
      <c r="A33" s="6" t="s">
        <v>159</v>
      </c>
      <c r="C33" s="200"/>
      <c r="D33" s="200"/>
      <c r="E33" s="200"/>
      <c r="F33" s="200"/>
      <c r="G33" s="198"/>
      <c r="H33" s="198"/>
      <c r="I33" s="198"/>
      <c r="J33" s="198"/>
      <c r="K33" s="198"/>
      <c r="L33" s="18"/>
    </row>
    <row r="34" spans="1:12">
      <c r="C34" s="15"/>
      <c r="D34" s="15"/>
      <c r="E34" s="15"/>
      <c r="F34" s="15"/>
      <c r="G34" s="15"/>
      <c r="H34" s="15"/>
      <c r="I34" s="15"/>
      <c r="J34" s="15"/>
      <c r="K34" s="15"/>
    </row>
    <row r="35" spans="1:12">
      <c r="C35" s="15"/>
      <c r="D35" s="15"/>
      <c r="E35" s="15"/>
      <c r="F35" s="15"/>
      <c r="G35" s="15"/>
      <c r="H35" s="15"/>
      <c r="I35" s="15"/>
      <c r="J35" s="15"/>
      <c r="K35" s="15"/>
    </row>
    <row r="36" spans="1:12">
      <c r="C36" s="15"/>
      <c r="D36" s="15"/>
      <c r="E36" s="15"/>
      <c r="F36" s="15"/>
      <c r="G36" s="15"/>
      <c r="H36" s="15"/>
      <c r="I36" s="15"/>
      <c r="J36" s="15"/>
      <c r="K36" s="15"/>
    </row>
    <row r="37" spans="1:12">
      <c r="A37" s="50"/>
      <c r="B37" s="50"/>
      <c r="C37" s="50"/>
      <c r="D37" s="50"/>
      <c r="E37" s="51"/>
      <c r="F37" s="51"/>
      <c r="G37" s="51"/>
      <c r="H37" s="52"/>
      <c r="I37" s="52"/>
      <c r="K37" s="53"/>
    </row>
    <row r="38" spans="1:12">
      <c r="A38" s="7" t="s">
        <v>72</v>
      </c>
      <c r="B38" s="7"/>
      <c r="C38" s="293" t="str">
        <f>'Vessel Ullage'!D96</f>
        <v xml:space="preserve"> Enjaynes, Leo Mark Abellare</v>
      </c>
      <c r="D38" s="293"/>
      <c r="G38" s="7" t="s">
        <v>74</v>
      </c>
      <c r="I38" s="293" t="str">
        <f>'Vessel Ullage'!K96</f>
        <v>Abreu, Wagner de</v>
      </c>
      <c r="J38" s="293"/>
      <c r="K38" s="293"/>
    </row>
    <row r="40" spans="1:12">
      <c r="E40" s="6" t="s">
        <v>160</v>
      </c>
    </row>
  </sheetData>
  <sheetProtection algorithmName="SHA-512" hashValue="BIJN0Oq4MrIW+UtINI107xMEfv73Inv0pKjBufDWS4aD/8KRIMw94s2tSgE8JoTyajWuN+9m2b/2fmWUSCqCiA==" saltValue="1+Y1eY3XZ5ZKDSKsc264bw==" spinCount="100000" sheet="1" objects="1" scenarios="1" selectLockedCells="1"/>
  <mergeCells count="39">
    <mergeCell ref="I38:K38"/>
    <mergeCell ref="A25:C25"/>
    <mergeCell ref="A26:C26"/>
    <mergeCell ref="A28:C28"/>
    <mergeCell ref="F25:G25"/>
    <mergeCell ref="A29:C29"/>
    <mergeCell ref="F26:G26"/>
    <mergeCell ref="F27:G27"/>
    <mergeCell ref="F28:G28"/>
    <mergeCell ref="D26:E26"/>
    <mergeCell ref="C38:D38"/>
    <mergeCell ref="D28:E28"/>
    <mergeCell ref="D29:E29"/>
    <mergeCell ref="D27:E27"/>
    <mergeCell ref="F30:G30"/>
    <mergeCell ref="D30:E30"/>
    <mergeCell ref="F29:G29"/>
    <mergeCell ref="F24:G24"/>
    <mergeCell ref="F23:G23"/>
    <mergeCell ref="D24:E24"/>
    <mergeCell ref="G2:K2"/>
    <mergeCell ref="D25:E25"/>
    <mergeCell ref="C14:D14"/>
    <mergeCell ref="G3:K3"/>
    <mergeCell ref="F4:K4"/>
    <mergeCell ref="A24:C24"/>
    <mergeCell ref="D23:E23"/>
    <mergeCell ref="G5:L5"/>
    <mergeCell ref="A9:K9"/>
    <mergeCell ref="A19:C19"/>
    <mergeCell ref="D20:E20"/>
    <mergeCell ref="D21:E21"/>
    <mergeCell ref="A30:C30"/>
    <mergeCell ref="A21:C21"/>
    <mergeCell ref="A22:C22"/>
    <mergeCell ref="A23:C23"/>
    <mergeCell ref="D19:E19"/>
    <mergeCell ref="D22:E22"/>
    <mergeCell ref="A20:C20"/>
  </mergeCells>
  <phoneticPr fontId="0" type="noConversion"/>
  <hyperlinks>
    <hyperlink ref="F4" r:id="rId1" xr:uid="{00000000-0004-0000-0300-000000000000}"/>
  </hyperlinks>
  <pageMargins left="0.31496062992125984" right="0.23622047244094491" top="0.98425196850393704" bottom="0.98425196850393704" header="0.51181102362204722" footer="0.51181102362204722"/>
  <pageSetup paperSize="9" scale="85" orientation="portrait" blackAndWhite="1" horizontalDpi="300" verticalDpi="300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6"/>
  <sheetViews>
    <sheetView showGridLines="0" zoomScaleNormal="100" workbookViewId="0">
      <selection activeCell="A45" sqref="A45"/>
    </sheetView>
  </sheetViews>
  <sheetFormatPr defaultColWidth="9.109375" defaultRowHeight="13.2"/>
  <cols>
    <col min="1" max="1" width="9.44140625" style="55" bestFit="1" customWidth="1"/>
    <col min="2" max="2" width="14.109375" style="55" customWidth="1"/>
    <col min="3" max="3" width="2.77734375" style="55" customWidth="1"/>
    <col min="4" max="4" width="17.77734375" style="55" bestFit="1" customWidth="1"/>
    <col min="5" max="5" width="13.21875" style="55" customWidth="1"/>
    <col min="6" max="6" width="10.21875" style="55" bestFit="1" customWidth="1"/>
    <col min="7" max="7" width="10.109375" style="55" bestFit="1" customWidth="1"/>
    <col min="8" max="8" width="9.109375" style="55"/>
    <col min="9" max="9" width="27.88671875" style="55" customWidth="1"/>
    <col min="10" max="10" width="7" style="55" customWidth="1"/>
    <col min="11" max="16384" width="9.109375" style="55"/>
  </cols>
  <sheetData>
    <row r="1" spans="1:12">
      <c r="A1" s="54"/>
      <c r="B1" s="54"/>
      <c r="C1" s="54"/>
      <c r="D1" s="54"/>
      <c r="E1" s="54"/>
      <c r="F1" s="54"/>
      <c r="G1" s="54"/>
      <c r="H1" s="54"/>
      <c r="I1" s="54"/>
    </row>
    <row r="2" spans="1:12" ht="15.6">
      <c r="A2" s="54"/>
      <c r="B2" s="54"/>
      <c r="C2" s="54"/>
      <c r="D2" s="54"/>
      <c r="E2" s="54"/>
      <c r="F2" s="54"/>
      <c r="G2" s="230" t="s">
        <v>0</v>
      </c>
      <c r="H2" s="230"/>
      <c r="I2" s="230"/>
      <c r="J2" s="230"/>
      <c r="K2" s="29"/>
      <c r="L2" s="29"/>
    </row>
    <row r="3" spans="1:12" ht="15.75" customHeight="1">
      <c r="A3" s="54"/>
      <c r="B3" s="54"/>
      <c r="C3" s="54"/>
      <c r="D3" s="54"/>
      <c r="E3" s="54"/>
      <c r="F3" s="54"/>
      <c r="G3" s="56"/>
      <c r="H3" s="236" t="s">
        <v>1</v>
      </c>
      <c r="I3" s="236"/>
      <c r="J3" s="236"/>
      <c r="K3" s="30"/>
      <c r="L3" s="30"/>
    </row>
    <row r="4" spans="1:12" ht="14.4">
      <c r="A4" s="54"/>
      <c r="B4" s="54"/>
      <c r="C4" s="54"/>
      <c r="D4" s="54"/>
      <c r="E4" s="54"/>
      <c r="F4" s="54"/>
      <c r="G4" s="237" t="s">
        <v>2</v>
      </c>
      <c r="H4" s="237"/>
      <c r="I4" s="237"/>
      <c r="J4" s="237"/>
      <c r="K4" s="201"/>
      <c r="L4" s="201"/>
    </row>
    <row r="5" spans="1:12">
      <c r="A5" s="54"/>
      <c r="B5" s="54"/>
      <c r="C5" s="54"/>
      <c r="D5" s="54"/>
      <c r="E5" s="54"/>
      <c r="F5" s="54"/>
      <c r="G5" s="202"/>
      <c r="H5" s="202"/>
      <c r="I5" s="202"/>
    </row>
    <row r="6" spans="1:12">
      <c r="A6" s="54"/>
      <c r="B6" s="54"/>
      <c r="C6" s="54"/>
      <c r="D6" s="54"/>
      <c r="E6" s="54"/>
      <c r="F6" s="54"/>
      <c r="G6" s="54"/>
      <c r="H6" s="54"/>
      <c r="I6" s="54"/>
    </row>
    <row r="8" spans="1:12" s="57" customFormat="1" ht="14.4">
      <c r="A8" s="6" t="s">
        <v>4</v>
      </c>
      <c r="B8" s="6"/>
      <c r="C8" s="6" t="str">
        <f>'Vessel Ullage'!C8</f>
        <v>Densa Pelican</v>
      </c>
      <c r="D8" s="6"/>
      <c r="E8" s="6"/>
      <c r="F8" s="6" t="s">
        <v>6</v>
      </c>
      <c r="H8" s="6" t="str">
        <f>'Sounding Barge'!J9</f>
        <v>VLSFO</v>
      </c>
      <c r="J8" s="6"/>
    </row>
    <row r="9" spans="1:12" s="57" customFormat="1" ht="14.4">
      <c r="A9" s="6"/>
      <c r="B9" s="6"/>
      <c r="C9" s="6"/>
      <c r="D9" s="6"/>
      <c r="E9" s="6"/>
      <c r="F9" s="6" t="s">
        <v>8</v>
      </c>
      <c r="H9" s="6" t="str">
        <f>'Vessel Ullage'!I9</f>
        <v>Santos Port - LOCAL</v>
      </c>
      <c r="J9" s="6"/>
    </row>
    <row r="10" spans="1:12" s="57" customFormat="1" ht="14.4">
      <c r="A10" s="6" t="s">
        <v>10</v>
      </c>
      <c r="B10" s="6"/>
      <c r="C10" s="197" t="str">
        <f>'Vessel Ullage'!C10</f>
        <v>XXXXXXXXXXXX</v>
      </c>
      <c r="D10" s="197"/>
      <c r="E10" s="6"/>
      <c r="F10" s="6" t="s">
        <v>12</v>
      </c>
      <c r="H10" s="6" t="str">
        <f>'Vessel Ullage'!I10</f>
        <v>January 00th, 2023</v>
      </c>
      <c r="J10" s="6"/>
    </row>
    <row r="11" spans="1:12" s="57" customFormat="1" ht="14.4">
      <c r="A11" s="6"/>
      <c r="B11" s="6"/>
      <c r="C11" s="277"/>
      <c r="D11" s="277"/>
      <c r="E11" s="6"/>
      <c r="F11" s="6" t="s">
        <v>14</v>
      </c>
      <c r="H11" s="6" t="str">
        <f>'Vessel Ullage'!I11</f>
        <v>00:00 x 00:00 h/LT</v>
      </c>
      <c r="J11" s="6"/>
    </row>
    <row r="12" spans="1:12" s="57" customFormat="1" ht="13.8"/>
    <row r="13" spans="1:12" s="57" customFormat="1" ht="13.8">
      <c r="A13" s="57" t="s">
        <v>161</v>
      </c>
    </row>
    <row r="14" spans="1:12" s="57" customFormat="1" ht="13.8"/>
    <row r="15" spans="1:12" s="57" customFormat="1" ht="13.8">
      <c r="A15" s="57" t="s">
        <v>162</v>
      </c>
    </row>
    <row r="16" spans="1:12" s="57" customFormat="1" ht="13.8"/>
    <row r="18" spans="1:12" ht="12.75" customHeight="1">
      <c r="B18" s="58"/>
      <c r="C18" s="58"/>
      <c r="D18" s="58"/>
      <c r="E18" s="58"/>
      <c r="F18" s="59" t="s">
        <v>163</v>
      </c>
      <c r="G18" s="58"/>
      <c r="H18" s="58"/>
      <c r="I18" s="58"/>
    </row>
    <row r="19" spans="1:12">
      <c r="E19" s="60"/>
    </row>
    <row r="20" spans="1:12">
      <c r="E20" s="60"/>
    </row>
    <row r="22" spans="1:12" s="57" customFormat="1" ht="13.8"/>
    <row r="23" spans="1:12" s="57" customFormat="1" ht="13.8">
      <c r="A23" s="61" t="s">
        <v>164</v>
      </c>
      <c r="B23" s="61" t="str">
        <f>'Vessel Ullage'!C8</f>
        <v>Densa Pelican</v>
      </c>
      <c r="C23" s="61"/>
      <c r="D23" s="62"/>
      <c r="F23" s="62" t="s">
        <v>165</v>
      </c>
      <c r="G23" s="63" t="str">
        <f>'Vessel Ullage'!I10</f>
        <v>January 00th, 2023</v>
      </c>
      <c r="H23" s="64"/>
      <c r="I23" s="65"/>
    </row>
    <row r="24" spans="1:12" s="57" customFormat="1" ht="13.8"/>
    <row r="25" spans="1:12" s="57" customFormat="1" ht="13.8">
      <c r="A25" s="61" t="s">
        <v>166</v>
      </c>
      <c r="B25" s="62" t="str">
        <f>'Vessel Ullage'!I9</f>
        <v>Santos Port - LOCAL</v>
      </c>
      <c r="C25" s="64"/>
      <c r="D25" s="64"/>
      <c r="E25" s="64"/>
      <c r="F25" s="61" t="s">
        <v>167</v>
      </c>
      <c r="G25" s="62" t="str">
        <f>'Vessel Ullage'!I8</f>
        <v>VLSFO</v>
      </c>
      <c r="H25" s="64"/>
      <c r="I25" s="65"/>
    </row>
    <row r="26" spans="1:12" s="57" customFormat="1" ht="13.8">
      <c r="B26" s="65"/>
      <c r="C26" s="65"/>
      <c r="D26" s="65"/>
      <c r="E26" s="65"/>
    </row>
    <row r="27" spans="1:12" s="57" customFormat="1" ht="13.8"/>
    <row r="28" spans="1:12" s="57" customFormat="1" ht="13.8">
      <c r="A28" s="57" t="s">
        <v>168</v>
      </c>
      <c r="L28" s="57" t="s">
        <v>178</v>
      </c>
    </row>
    <row r="29" spans="1:12" s="57" customFormat="1" ht="13.8">
      <c r="A29" s="57" t="s">
        <v>169</v>
      </c>
    </row>
    <row r="30" spans="1:12" s="57" customFormat="1" ht="13.8"/>
    <row r="31" spans="1:12" s="57" customFormat="1" ht="14.4" thickBot="1"/>
    <row r="32" spans="1:12" s="57" customFormat="1" ht="13.8">
      <c r="A32" s="66"/>
      <c r="B32" s="66"/>
      <c r="C32" s="66"/>
      <c r="D32" s="67"/>
      <c r="E32" s="68"/>
      <c r="F32" s="69" t="s">
        <v>170</v>
      </c>
      <c r="G32" s="70"/>
      <c r="H32" s="66"/>
      <c r="I32" s="66"/>
    </row>
    <row r="33" spans="1:10" s="57" customFormat="1" ht="13.8">
      <c r="A33" s="71"/>
      <c r="B33" s="65"/>
      <c r="C33" s="65"/>
      <c r="D33" s="72" t="s">
        <v>64</v>
      </c>
      <c r="E33" s="73" t="s">
        <v>171</v>
      </c>
      <c r="F33" s="72" t="s">
        <v>65</v>
      </c>
      <c r="G33" s="73" t="s">
        <v>71</v>
      </c>
      <c r="H33" s="65"/>
      <c r="I33" s="65"/>
    </row>
    <row r="34" spans="1:10" s="57" customFormat="1" ht="14.4" thickBot="1">
      <c r="A34" s="71"/>
      <c r="D34" s="74">
        <f>'Vessel Ullage'!L80</f>
        <v>580</v>
      </c>
      <c r="E34" s="75" t="e">
        <f>'Vessel Ullage'!L81</f>
        <v>#VALUE!</v>
      </c>
      <c r="F34" s="74" t="e">
        <f>'Vessel Ullage'!L82</f>
        <v>#VALUE!</v>
      </c>
      <c r="G34" s="75" t="e">
        <f>'Vessel Ullage'!L83</f>
        <v>#VALUE!</v>
      </c>
    </row>
    <row r="35" spans="1:10" s="57" customFormat="1" ht="13.8">
      <c r="A35" s="71"/>
      <c r="D35" s="65"/>
      <c r="E35" s="65"/>
      <c r="F35" s="65"/>
      <c r="G35" s="65"/>
    </row>
    <row r="36" spans="1:10" s="57" customFormat="1" ht="15" customHeight="1">
      <c r="A36" s="57" t="s">
        <v>172</v>
      </c>
    </row>
    <row r="37" spans="1:10" s="57" customFormat="1" ht="15" customHeight="1"/>
    <row r="38" spans="1:10" s="57" customFormat="1" ht="15" customHeight="1"/>
    <row r="39" spans="1:10" s="57" customFormat="1" ht="15" customHeight="1"/>
    <row r="40" spans="1:10" s="57" customFormat="1" ht="15" customHeight="1"/>
    <row r="41" spans="1:10" s="57" customFormat="1" ht="15" customHeight="1"/>
    <row r="42" spans="1:10" s="57" customFormat="1" ht="13.8"/>
    <row r="43" spans="1:10" s="57" customFormat="1" ht="13.8">
      <c r="A43" s="227" t="s">
        <v>173</v>
      </c>
    </row>
    <row r="44" spans="1:10" s="57" customFormat="1" ht="13.8">
      <c r="A44" s="76"/>
      <c r="B44" s="77"/>
      <c r="C44" s="77"/>
      <c r="D44" s="77"/>
      <c r="E44" s="78"/>
      <c r="F44" s="79"/>
      <c r="G44" s="79"/>
      <c r="H44" s="80"/>
      <c r="I44" s="80"/>
      <c r="J44" s="55"/>
    </row>
    <row r="45" spans="1:10">
      <c r="A45" s="228" t="s">
        <v>174</v>
      </c>
      <c r="B45" s="81"/>
      <c r="C45" s="81"/>
      <c r="D45" s="81"/>
      <c r="E45" s="81"/>
      <c r="G45" s="229" t="s">
        <v>74</v>
      </c>
      <c r="I45" s="82" t="str">
        <f>'Vessel Ullage'!K96</f>
        <v>Abreu, Wagner de</v>
      </c>
    </row>
    <row r="46" spans="1:10">
      <c r="A46" s="55" t="s">
        <v>175</v>
      </c>
    </row>
  </sheetData>
  <sheetProtection algorithmName="SHA-512" hashValue="mWecQbHStaE74uaEU/xgeWzNof4aslAOyIYXe0Kl7WmcFFgGldV/zvLCS/4aT3y9FYFWtirFGS0zV5A5u0OBAg==" saltValue="Z6cW7Ei6QcKRKprczoSTbQ==" spinCount="100000" sheet="1" objects="1" scenarios="1" selectLockedCells="1"/>
  <mergeCells count="4">
    <mergeCell ref="C11:D11"/>
    <mergeCell ref="G2:J2"/>
    <mergeCell ref="H3:J3"/>
    <mergeCell ref="G4:J4"/>
  </mergeCells>
  <phoneticPr fontId="0" type="noConversion"/>
  <hyperlinks>
    <hyperlink ref="G4" r:id="rId1" xr:uid="{00000000-0004-0000-0400-000000000000}"/>
  </hyperlinks>
  <pageMargins left="0.31496062992125984" right="0.23622047244094491" top="0.98425196850393704" bottom="0.98425196850393704" header="0.51181102362204722" footer="0.51181102362204722"/>
  <pageSetup paperSize="9" scale="78" orientation="portrait" blackAndWhite="1" horizontalDpi="300" verticalDpi="300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9"/>
  <sheetViews>
    <sheetView topLeftCell="A25" workbookViewId="0">
      <selection activeCell="C38" sqref="C38"/>
    </sheetView>
  </sheetViews>
  <sheetFormatPr defaultColWidth="9" defaultRowHeight="13.2"/>
  <cols>
    <col min="1" max="2" width="9.109375" style="4" customWidth="1"/>
    <col min="3" max="16384" width="9" style="2"/>
  </cols>
  <sheetData>
    <row r="1" spans="1:2" ht="26.4">
      <c r="A1" s="1" t="s">
        <v>176</v>
      </c>
      <c r="B1" s="1" t="s">
        <v>177</v>
      </c>
    </row>
    <row r="2" spans="1:2">
      <c r="A2" s="3">
        <v>0.5</v>
      </c>
      <c r="B2" s="4">
        <v>0.99775000000000003</v>
      </c>
    </row>
    <row r="3" spans="1:2">
      <c r="A3" s="3">
        <v>0.51910000000000001</v>
      </c>
      <c r="B3" s="4">
        <v>0.99775000000000003</v>
      </c>
    </row>
    <row r="4" spans="1:2">
      <c r="A4" s="3">
        <v>0.51919999999999999</v>
      </c>
      <c r="B4" s="4">
        <v>0.99785000000000001</v>
      </c>
    </row>
    <row r="5" spans="1:2">
      <c r="A5" s="3">
        <v>0.54210000000000003</v>
      </c>
      <c r="B5" s="4">
        <v>0.99785000000000001</v>
      </c>
    </row>
    <row r="6" spans="1:2">
      <c r="A6" s="3">
        <v>0.54220000000000002</v>
      </c>
      <c r="B6" s="4">
        <v>0.99795</v>
      </c>
    </row>
    <row r="7" spans="1:2">
      <c r="A7" s="3">
        <v>0.56730000000000003</v>
      </c>
      <c r="B7" s="4">
        <v>0.99795</v>
      </c>
    </row>
    <row r="8" spans="1:2">
      <c r="A8" s="3">
        <v>0.56740000000000002</v>
      </c>
      <c r="B8" s="4">
        <v>0.99804999999999999</v>
      </c>
    </row>
    <row r="9" spans="1:2">
      <c r="A9" s="3">
        <v>0.59499999999999997</v>
      </c>
      <c r="B9" s="4">
        <v>0.99804999999999999</v>
      </c>
    </row>
    <row r="10" spans="1:2">
      <c r="A10" s="3">
        <v>0.59509999999999996</v>
      </c>
      <c r="B10" s="4">
        <v>0.99814999999999998</v>
      </c>
    </row>
    <row r="11" spans="1:2">
      <c r="A11" s="3">
        <v>0.62549999999999994</v>
      </c>
      <c r="B11" s="4">
        <v>0.99814999999999998</v>
      </c>
    </row>
    <row r="12" spans="1:2">
      <c r="A12" s="3">
        <v>0.62560000000000004</v>
      </c>
      <c r="B12" s="4">
        <v>0.99824999999999997</v>
      </c>
    </row>
    <row r="13" spans="1:2">
      <c r="A13" s="3">
        <v>0.6593</v>
      </c>
      <c r="B13" s="4">
        <v>0.99824999999999997</v>
      </c>
    </row>
    <row r="14" spans="1:2">
      <c r="A14" s="3">
        <v>0.65939999999999999</v>
      </c>
      <c r="B14" s="4">
        <v>0.99834999999999996</v>
      </c>
    </row>
    <row r="15" spans="1:2">
      <c r="A15" s="3">
        <v>0.69699999999999995</v>
      </c>
      <c r="B15" s="4">
        <v>0.99834999999999996</v>
      </c>
    </row>
    <row r="16" spans="1:2">
      <c r="A16" s="3">
        <v>0.69710000000000005</v>
      </c>
      <c r="B16" s="4">
        <v>0.99844999999999995</v>
      </c>
    </row>
    <row r="17" spans="1:2">
      <c r="A17" s="3">
        <v>0.73919999999999997</v>
      </c>
      <c r="B17" s="4">
        <v>0.99844999999999995</v>
      </c>
    </row>
    <row r="18" spans="1:2">
      <c r="A18" s="3">
        <v>0.73929999999999996</v>
      </c>
      <c r="B18" s="4">
        <v>0.99855000000000005</v>
      </c>
    </row>
    <row r="19" spans="1:2">
      <c r="A19" s="3">
        <v>0.78690000000000004</v>
      </c>
      <c r="B19" s="4">
        <v>0.99855000000000005</v>
      </c>
    </row>
    <row r="20" spans="1:2">
      <c r="A20" s="3">
        <v>0.78700000000000003</v>
      </c>
      <c r="B20" s="4">
        <v>0.99865000000000004</v>
      </c>
    </row>
    <row r="21" spans="1:2">
      <c r="A21" s="3">
        <v>0.84109999999999996</v>
      </c>
      <c r="B21" s="4">
        <v>0.99865000000000004</v>
      </c>
    </row>
    <row r="22" spans="1:2">
      <c r="A22" s="3">
        <v>0.84119999999999995</v>
      </c>
      <c r="B22" s="4">
        <v>0.99875000000000003</v>
      </c>
    </row>
    <row r="23" spans="1:2">
      <c r="A23" s="3">
        <v>0.90339999999999998</v>
      </c>
      <c r="B23" s="4">
        <v>0.99875000000000003</v>
      </c>
    </row>
    <row r="24" spans="1:2">
      <c r="A24" s="3">
        <v>0.90349999999999997</v>
      </c>
      <c r="B24" s="4">
        <v>0.99885000000000002</v>
      </c>
    </row>
    <row r="25" spans="1:2">
      <c r="A25" s="3">
        <v>0.97560000000000002</v>
      </c>
      <c r="B25" s="4">
        <v>0.99885000000000002</v>
      </c>
    </row>
    <row r="26" spans="1:2">
      <c r="A26" s="3">
        <v>0.97570000000000001</v>
      </c>
      <c r="B26" s="4">
        <v>0.99895</v>
      </c>
    </row>
    <row r="27" spans="1:2">
      <c r="A27" s="3">
        <v>1.0604</v>
      </c>
      <c r="B27" s="4">
        <v>0.99895</v>
      </c>
    </row>
    <row r="28" spans="1:2">
      <c r="A28" s="3">
        <v>1.0605</v>
      </c>
      <c r="B28" s="4">
        <v>0.99904999999999999</v>
      </c>
    </row>
    <row r="29" spans="1:2">
      <c r="A29" s="3">
        <v>1.1000000000000001</v>
      </c>
      <c r="B29" s="4">
        <v>0.99904999999999999</v>
      </c>
    </row>
  </sheetData>
  <phoneticPr fontId="7" type="noConversion"/>
  <printOptions horizontalCentered="1"/>
  <pageMargins left="1.25" right="1.25" top="3" bottom="2.5" header="0.51180555555555562" footer="0.51180555555555562"/>
  <pageSetup paperSize="9" scale="97" firstPageNumber="0" fitToHeight="0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486E44FC1E1E4C84FA9FA658674617" ma:contentTypeVersion="17" ma:contentTypeDescription="Crie um novo documento." ma:contentTypeScope="" ma:versionID="5e800d2f8943d83934d512a1f8a5f9b4">
  <xsd:schema xmlns:xsd="http://www.w3.org/2001/XMLSchema" xmlns:xs="http://www.w3.org/2001/XMLSchema" xmlns:p="http://schemas.microsoft.com/office/2006/metadata/properties" xmlns:ns2="09e51f4a-57fe-4690-a6a0-08abb60e44cb" xmlns:ns3="c3c5eb31-f15d-4b84-a3c7-30f17623d447" targetNamespace="http://schemas.microsoft.com/office/2006/metadata/properties" ma:root="true" ma:fieldsID="8487d8d5610680df998ea20fb0f1e5f0" ns2:_="" ns3:_="">
    <xsd:import namespace="09e51f4a-57fe-4690-a6a0-08abb60e44cb"/>
    <xsd:import namespace="c3c5eb31-f15d-4b84-a3c7-30f17623d4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51f4a-57fe-4690-a6a0-08abb60e44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091d320e-5f7a-438e-8957-5c9074a50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c5eb31-f15d-4b84-a3c7-30f17623d44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de379af-0777-41e0-b8bd-0ae8279417b7}" ma:internalName="TaxCatchAll" ma:showField="CatchAllData" ma:web="c3c5eb31-f15d-4b84-a3c7-30f17623d4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e51f4a-57fe-4690-a6a0-08abb60e44cb">
      <Terms xmlns="http://schemas.microsoft.com/office/infopath/2007/PartnerControls"/>
    </lcf76f155ced4ddcb4097134ff3c332f>
    <TaxCatchAll xmlns="c3c5eb31-f15d-4b84-a3c7-30f17623d4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3D9F8B-E76F-4E30-B5D1-9C4FC5854A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e51f4a-57fe-4690-a6a0-08abb60e44cb"/>
    <ds:schemaRef ds:uri="c3c5eb31-f15d-4b84-a3c7-30f17623d4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961ADA-2F48-4C6B-8AA1-34EC2795DBC4}">
  <ds:schemaRefs>
    <ds:schemaRef ds:uri="http://schemas.microsoft.com/office/2006/metadata/properties"/>
    <ds:schemaRef ds:uri="http://schemas.microsoft.com/office/infopath/2007/PartnerControls"/>
    <ds:schemaRef ds:uri="09e51f4a-57fe-4690-a6a0-08abb60e44cb"/>
    <ds:schemaRef ds:uri="c3c5eb31-f15d-4b84-a3c7-30f17623d447"/>
  </ds:schemaRefs>
</ds:datastoreItem>
</file>

<file path=customXml/itemProps3.xml><?xml version="1.0" encoding="utf-8"?>
<ds:datastoreItem xmlns:ds="http://schemas.openxmlformats.org/officeDocument/2006/customXml" ds:itemID="{A45949F2-F100-49A5-9BCD-1DE39F0D0E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3</vt:i4>
      </vt:variant>
    </vt:vector>
  </HeadingPairs>
  <TitlesOfParts>
    <vt:vector size="9" baseType="lpstr">
      <vt:lpstr>Vessel Ullage</vt:lpstr>
      <vt:lpstr>Sounding Barge</vt:lpstr>
      <vt:lpstr>Time Log</vt:lpstr>
      <vt:lpstr>Sample Report</vt:lpstr>
      <vt:lpstr>Letter of Protest</vt:lpstr>
      <vt:lpstr>VacuoAr</vt:lpstr>
      <vt:lpstr>'Letter of Protest'!Area_de_impressao</vt:lpstr>
      <vt:lpstr>'Sounding Barge'!Area_de_impressao</vt:lpstr>
      <vt:lpstr>'Vessel Ullage'!Area_de_impressao</vt:lpstr>
    </vt:vector>
  </TitlesOfParts>
  <Manager/>
  <Company>Intertek Brasil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Lloyds</dc:title>
  <dc:subject>Lloyds FOBAS/BQS</dc:subject>
  <dc:creator>José Augusto Pinto/Marcelo Padovani</dc:creator>
  <cp:keywords/>
  <dc:description>versão 2.05 (2x)</dc:description>
  <cp:lastModifiedBy>Cristian Paxur</cp:lastModifiedBy>
  <cp:revision/>
  <dcterms:created xsi:type="dcterms:W3CDTF">2004-08-12T22:33:19Z</dcterms:created>
  <dcterms:modified xsi:type="dcterms:W3CDTF">2026-05-04T10:06:40Z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0x01010060486E44FC1E1E4C84FA9FA658674617</vt:lpwstr>
  </property>
  <property fmtid="{D5CDD505-2E9C-101B-9397-08002B2CF9AE}" pid="3" name="MediaServiceImageTags">
    <vt:lpwstr/>
  </property>
</Properties>
</file>